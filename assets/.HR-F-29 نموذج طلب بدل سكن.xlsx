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der\Downloads\مجلد جديد (23)\HR-F-29 نموذج واجراء طلب بدل السكن\"/>
    </mc:Choice>
  </mc:AlternateContent>
  <bookViews>
    <workbookView xWindow="-120" yWindow="-120" windowWidth="29040" windowHeight="15720"/>
  </bookViews>
  <sheets>
    <sheet name="Housing Form" sheetId="1" r:id="rId1"/>
    <sheet name="شرح الحسبة" sheetId="2" state="hidden" r:id="rId2"/>
    <sheet name="Lists" sheetId="3" state="hidden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B13" i="1"/>
  <c r="C11" i="1"/>
</calcChain>
</file>

<file path=xl/sharedStrings.xml><?xml version="1.0" encoding="utf-8"?>
<sst xmlns="http://schemas.openxmlformats.org/spreadsheetml/2006/main" count="156" uniqueCount="131">
  <si>
    <t>نموذج طلب بدل سكن مقدما</t>
  </si>
  <si>
    <t>Advance Housing Allowance Request Form</t>
  </si>
  <si>
    <t>Employee ID :</t>
  </si>
  <si>
    <t>رقم الموظف :</t>
  </si>
  <si>
    <t>Employee Name :</t>
  </si>
  <si>
    <t>اسم الموظف :</t>
  </si>
  <si>
    <t>Title / Department :</t>
  </si>
  <si>
    <t>الوظيفة / القسم :</t>
  </si>
  <si>
    <t>Joining Date :</t>
  </si>
  <si>
    <t>تاريخ التعيين :</t>
  </si>
  <si>
    <t>Request Date :</t>
  </si>
  <si>
    <t>تاريخ الطلب :</t>
  </si>
  <si>
    <t>تفاصيل الطلب / Request Details</t>
  </si>
  <si>
    <t>Repayment Period</t>
  </si>
  <si>
    <t>من تاريخ:        /        /              إلى تاريخ:        /        /</t>
  </si>
  <si>
    <t>مدة السداد</t>
  </si>
  <si>
    <t>I hereby request the Institute to grant me an advance housing allowance based on the selected entitlement above, number of months, monthly housing allowance, and total amount. I agree that the approved amount will be deducted according to the approved repayment schedule.</t>
  </si>
  <si>
    <t>أطلب من المعهد منحي بدل السكن مقدما بناءً على الاستحقاق المحدد أعلاه وعدد الأشهر وقيمة بدل السكن الشهري وإجمالي المبلغ، وأوافق على خصم المبلغ المعتمد وفق جدول السداد المعتمد.</t>
  </si>
  <si>
    <t>In case of resignation and/or termination, I authorize the Institute to adjust any unpaid balance from my end of service benefits. If the benefits do not cover the outstanding balance,   I undertake to pay the remaining amount before leaving the Institute.</t>
  </si>
  <si>
    <t>في حال الاستقالة أو إنهاء علاقة العمل، يحق للمعهد خصم أي رصيد غير مسدد من مستحقات نهاية الخدمة، وفي حال عدم كفايتها ألتزم بسداد الرصيد المتبقي قبل ترك العمل لدى المعهد.</t>
  </si>
  <si>
    <t>توقيع مدير القسم
Dept. Manager Signature</t>
  </si>
  <si>
    <t>توقيع الموظف
Employee Signature</t>
  </si>
  <si>
    <t>فقط لإستعمال إدارة الموارد البشرية / For HR Dept. use only</t>
  </si>
  <si>
    <t>Joining Date:</t>
  </si>
  <si>
    <t>تاريخ التعيين:</t>
  </si>
  <si>
    <t>End of Service Benefits (Resigned):</t>
  </si>
  <si>
    <t>حقوق نهاية الخدمة (استقالة):</t>
  </si>
  <si>
    <t>HR Notes:</t>
  </si>
  <si>
    <t>ملاحظات الموارد البشرية:</t>
  </si>
  <si>
    <t>Human Resources Department Signature</t>
  </si>
  <si>
    <t>توقيع الموارد البشرية</t>
  </si>
  <si>
    <t>فقط لإستعمال إدارة المحاسبة / For Accounting Dept. use only</t>
  </si>
  <si>
    <t>Date:</t>
  </si>
  <si>
    <t>التاريخ:</t>
  </si>
  <si>
    <t>Existing / Standing Loan - SR.</t>
  </si>
  <si>
    <t>سلف قائمة - ريال:</t>
  </si>
  <si>
    <t>End of Service Benefits (Resigned) - SR.</t>
  </si>
  <si>
    <t>حقوق نهاية الخدمة (استقالة) - ريال:</t>
  </si>
  <si>
    <t>Approved No. of Months</t>
  </si>
  <si>
    <t>عدد الأشهر المعتمدة:</t>
  </si>
  <si>
    <t>Approved Monthly Installment - SR.</t>
  </si>
  <si>
    <t>قيمة القسط الشهري المعتمد - ريال:</t>
  </si>
  <si>
    <t>Total Amount Approved - SR.</t>
  </si>
  <si>
    <t>إجمالي المبلغ المعتمد - ريال:</t>
  </si>
  <si>
    <t>Reviewed by Accountant (Name):</t>
  </si>
  <si>
    <t>تمت المراجعة بواسطة المحاسب (الاسم):</t>
  </si>
  <si>
    <t>Signature:</t>
  </si>
  <si>
    <t>التوقيع:</t>
  </si>
  <si>
    <t>قرار الاعتماد / Approval Decision</t>
  </si>
  <si>
    <t>□  موافقة / Approve                                            □  رفض / Reject</t>
  </si>
  <si>
    <t>توقيع الرئيس التنفيذي
CEO Signature</t>
  </si>
  <si>
    <t>توقيع مدير المحاسبة
 Accounting Manager Signature</t>
  </si>
  <si>
    <t xml:space="preserve">Ref. Title </t>
  </si>
  <si>
    <t>HR-F-29</t>
  </si>
  <si>
    <t>Revision</t>
  </si>
  <si>
    <t>Page Number</t>
  </si>
  <si>
    <t>Page 1 of 1</t>
  </si>
  <si>
    <t>This document is intended for internal use only by HIPIT</t>
  </si>
  <si>
    <t>Service Period</t>
  </si>
  <si>
    <t>اختر مدة الخدمة أولًا؛ ثم تظهر الخيارات المتاحة في السطر التالي</t>
  </si>
  <si>
    <t>مدة الخدمة</t>
  </si>
  <si>
    <t>Eligible Advance Period</t>
  </si>
  <si>
    <t>مدة بدل السكن المطلوبة</t>
  </si>
  <si>
    <t>Monthly Housing Allowance - SR.</t>
  </si>
  <si>
    <t>بدل السكن الشهري - ريال</t>
  </si>
  <si>
    <t>Total Amount - SR.</t>
  </si>
  <si>
    <t>إجمالي المبلغ - ريال</t>
  </si>
  <si>
    <t>تحسب هذه الخانة بناءً على مكافأة نهاية الخدمة عند الاستقالة فقط، حسب شريحة مدة الخدمة المختارة في الأعلى.</t>
  </si>
  <si>
    <t>شرح حسبة بدل السكن المقدم بناءً على مكافأة نهاية الخدمة عند الاستقالة</t>
  </si>
  <si>
    <t>المعطيات المعتمدة</t>
  </si>
  <si>
    <t>الراتب الأساسي</t>
  </si>
  <si>
    <t>ريال</t>
  </si>
  <si>
    <t>بدل السكن الشهري</t>
  </si>
  <si>
    <t>بدل النقل</t>
  </si>
  <si>
    <t>الأجر المحتسب لمكافأة نهاية الخدمة</t>
  </si>
  <si>
    <t>أساس الاستقالة المستخدم في الحسبة</t>
  </si>
  <si>
    <t>نسبة الاستحقاق</t>
  </si>
  <si>
    <t>المعادلة المختصرة</t>
  </si>
  <si>
    <t>أقل من سنتين</t>
  </si>
  <si>
    <t>لا يستحق</t>
  </si>
  <si>
    <t>0</t>
  </si>
  <si>
    <t>من سنتين إلى أقل من 5 سنوات</t>
  </si>
  <si>
    <t>ثلث المكافأة</t>
  </si>
  <si>
    <t>سنوات الخدمة × الأجر ÷ 6</t>
  </si>
  <si>
    <t>من 5 سنوات إلى أقل من 10 سنوات</t>
  </si>
  <si>
    <t>ثلثا المكافأة</t>
  </si>
  <si>
    <t>(سنوات الخدمة - 2.5) × الأجر × 2 ÷ 3</t>
  </si>
  <si>
    <t>10 سنوات فأكثر</t>
  </si>
  <si>
    <t>كامل المكافأة</t>
  </si>
  <si>
    <t>(سنوات الخدمة - 2.5) × الأجر</t>
  </si>
  <si>
    <t>الشريحة في النموذج</t>
  </si>
  <si>
    <t>الحد الأدنى لمدة الخدمة</t>
  </si>
  <si>
    <t>خيارات الأشهر المتاحة</t>
  </si>
  <si>
    <t>قيمة أعلى خيار</t>
  </si>
  <si>
    <t>مكافأة الاستقالة عند بداية الشريحة</t>
  </si>
  <si>
    <t>النتيجة</t>
  </si>
  <si>
    <t>غير مستحق</t>
  </si>
  <si>
    <t>أقل من 3 سنوات و4 أشهر</t>
  </si>
  <si>
    <t>لا يوجد</t>
  </si>
  <si>
    <t>أقل من 3,750</t>
  </si>
  <si>
    <t>لا تغطي 3 أشهر بدل سكن</t>
  </si>
  <si>
    <t>من 3 سنوات و4 أشهر إلى أقل من 5 سنوات</t>
  </si>
  <si>
    <t>3 سنوات و4 أشهر</t>
  </si>
  <si>
    <t>3 أشهر</t>
  </si>
  <si>
    <t>تغطي 3 أشهر فقط</t>
  </si>
  <si>
    <t>من 5 سنوات إلى أقل من 5 سنوات و10 أشهر</t>
  </si>
  <si>
    <t>5 سنوات</t>
  </si>
  <si>
    <t>6 أشهر أو 9 أشهر</t>
  </si>
  <si>
    <t>تغطي 6 و9 أشهر</t>
  </si>
  <si>
    <t>من 5 سنوات و10 أشهر فأكثر</t>
  </si>
  <si>
    <t>5 سنوات و10 أشهر</t>
  </si>
  <si>
    <t>6 أشهر أو 9 أشهر أو 12 شهرًا</t>
  </si>
  <si>
    <t>تغطي حتى 12 شهرًا</t>
  </si>
  <si>
    <t>قوائم النموذج</t>
  </si>
  <si>
    <t>خيارات الأشهر لكل شريحة</t>
  </si>
  <si>
    <t>الخيار 1</t>
  </si>
  <si>
    <t>الخيار 2</t>
  </si>
  <si>
    <t>الخيار 3</t>
  </si>
  <si>
    <t>6 أشهر</t>
  </si>
  <si>
    <t>9 أشهر</t>
  </si>
  <si>
    <t>12 شهرًا</t>
  </si>
  <si>
    <t>ملاحظة</t>
  </si>
  <si>
    <t>Option 1</t>
  </si>
  <si>
    <t>Option 2</t>
  </si>
  <si>
    <t>Option 3</t>
  </si>
  <si>
    <t>يبدأ الخصم اعتبارا من تاريخ:
Deduction Start Date:             /               / 2026
ينتهي الخصم بتاريخ:
Deduction End Date:              /                 /  2026</t>
  </si>
  <si>
    <t>تم دمج شريحة 10 سنوات فأكثر لأنها داخلة ضمن شريحة 5 سنوات و10 أشهر فأكثر بالنسبة لسقف 12 شهر بدل سكن. عند 10 سنوات تكون التغطية أعلى، لكن النموذج سقفه 12 شهرا.</t>
  </si>
  <si>
    <t>من 3 سنوات و5 أشهر إلى أقل من 5 سنوات</t>
  </si>
  <si>
    <t>12 شهرا</t>
  </si>
  <si>
    <t xml:space="preserve">من 5 سنوات إلى أقل من 6 سنوات </t>
  </si>
  <si>
    <t>من 6 سنوات فأكثر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</si>
</sst>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name val="Carlito"/>
    </font>
    <font>
      <sz val="10"/>
      <name val="Arial"/>
      <family val="2"/>
    </font>
    <font>
      <sz val="12"/>
      <color theme="1"/>
      <name val="Sakkal Majalla"/>
    </font>
    <font>
      <b/>
      <sz val="18"/>
      <name val="Sakkal Majalla"/>
    </font>
    <font>
      <b/>
      <sz val="12"/>
      <name val="Sakkal Majalla"/>
    </font>
    <font>
      <sz val="10"/>
      <name val="Sakkal Majalla"/>
    </font>
    <font>
      <b/>
      <sz val="14"/>
      <name val="Sakkal Majalla"/>
    </font>
    <font>
      <b/>
      <sz val="16"/>
      <name val="Sakkal Majalla"/>
    </font>
    <font>
      <sz val="16"/>
      <name val="Arial"/>
      <family val="2"/>
    </font>
    <font>
      <sz val="14"/>
      <name val="Sakkal Majalla"/>
    </font>
    <font>
      <sz val="16"/>
      <name val="Sakkal Majalla"/>
    </font>
    <font>
      <b/>
      <sz val="12"/>
      <name val="Carlito"/>
    </font>
    <font>
      <b/>
      <sz val="10"/>
      <name val="Sakkal Majalla"/>
    </font>
    <font>
      <sz val="10"/>
      <name val="Carlito"/>
    </font>
    <font>
      <b/>
      <sz val="11"/>
      <name val="Carlito"/>
    </font>
    <font>
      <b/>
      <sz val="10"/>
      <color rgb="FF1F4E78"/>
      <name val="Sakkal Majalla"/>
    </font>
    <font>
      <i/>
      <sz val="10"/>
      <name val="Sakkal Majalla"/>
    </font>
    <font>
      <b/>
      <sz val="11"/>
      <color rgb="FFFFFFFF"/>
      <name val="Carlito"/>
    </font>
    <font>
      <i/>
      <sz val="10"/>
      <color rgb="FF1F4E78"/>
      <name val="Sakkal Majalla"/>
    </font>
    <font>
      <i/>
      <sz val="10"/>
      <color rgb="FF1F4E78"/>
      <name val="Carlito"/>
    </font>
    <font>
      <b/>
      <sz val="14"/>
      <name val="Carlito"/>
    </font>
    <font>
      <b/>
      <sz val="12"/>
      <name val="Carlito"/>
      <charset val="178"/>
    </font>
  </fonts>
  <fills count="12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horizontal="right" vertical="center"/>
    </xf>
    <xf numFmtId="0" fontId="4" fillId="0" borderId="37" xfId="0" applyFont="1" applyBorder="1" applyAlignment="1">
      <alignment vertical="center"/>
    </xf>
    <xf numFmtId="0" fontId="4" fillId="0" borderId="38" xfId="0" applyFont="1" applyBorder="1" applyAlignment="1">
      <alignment horizontal="right"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right" vertical="center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horizontal="right" vertical="center" wrapText="1"/>
    </xf>
    <xf numFmtId="0" fontId="4" fillId="0" borderId="37" xfId="0" applyFont="1" applyBorder="1" applyAlignment="1">
      <alignment vertical="center" wrapText="1"/>
    </xf>
    <xf numFmtId="0" fontId="4" fillId="0" borderId="38" xfId="0" applyFont="1" applyBorder="1" applyAlignment="1">
      <alignment horizontal="right" vertical="center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horizontal="right" vertical="center" wrapText="1"/>
    </xf>
    <xf numFmtId="0" fontId="12" fillId="0" borderId="39" xfId="0" applyNumberFormat="1" applyFont="1" applyFill="1" applyBorder="1" applyAlignment="1">
      <alignment horizontal="center" vertical="center" wrapText="1"/>
    </xf>
    <xf numFmtId="0" fontId="12" fillId="0" borderId="40" xfId="0" applyNumberFormat="1" applyFont="1" applyFill="1" applyBorder="1" applyAlignment="1">
      <alignment horizontal="center" vertical="center" wrapText="1"/>
    </xf>
    <xf numFmtId="0" fontId="0" fillId="0" borderId="44" xfId="0" applyNumberFormat="1" applyFont="1" applyFill="1" applyBorder="1" applyAlignment="1">
      <alignment vertical="center" wrapText="1"/>
    </xf>
    <xf numFmtId="0" fontId="0" fillId="0" borderId="45" xfId="0" applyNumberFormat="1" applyFont="1" applyFill="1" applyBorder="1" applyAlignment="1">
      <alignment vertical="center" wrapText="1"/>
    </xf>
    <xf numFmtId="0" fontId="12" fillId="5" borderId="35" xfId="0" applyNumberFormat="1" applyFont="1" applyFill="1" applyBorder="1" applyAlignment="1">
      <alignment horizontal="center" vertical="center" wrapText="1"/>
    </xf>
    <xf numFmtId="0" fontId="12" fillId="5" borderId="37" xfId="0" applyNumberFormat="1" applyFont="1" applyFill="1" applyBorder="1" applyAlignment="1">
      <alignment horizontal="center" vertical="center" wrapText="1"/>
    </xf>
    <xf numFmtId="0" fontId="12" fillId="5" borderId="36" xfId="0" applyNumberFormat="1" applyFont="1" applyFill="1" applyBorder="1" applyAlignment="1">
      <alignment horizontal="right" vertical="center" wrapText="1"/>
    </xf>
    <xf numFmtId="0" fontId="12" fillId="5" borderId="38" xfId="0" applyNumberFormat="1" applyFont="1" applyFill="1" applyBorder="1" applyAlignment="1">
      <alignment horizontal="right" vertical="center" wrapText="1"/>
    </xf>
    <xf numFmtId="0" fontId="17" fillId="9" borderId="0" xfId="0" applyNumberFormat="1" applyFont="1" applyFill="1" applyBorder="1"/>
    <xf numFmtId="0" fontId="0" fillId="0" borderId="44" xfId="0" applyNumberFormat="1" applyFont="1" applyFill="1" applyBorder="1" applyAlignment="1">
      <alignment vertical="center" wrapText="1" readingOrder="2"/>
    </xf>
    <xf numFmtId="0" fontId="0" fillId="0" borderId="45" xfId="0" applyNumberFormat="1" applyFont="1" applyFill="1" applyBorder="1" applyAlignment="1">
      <alignment vertical="center" wrapText="1" readingOrder="2"/>
    </xf>
    <xf numFmtId="0" fontId="0" fillId="0" borderId="0" xfId="0" applyAlignment="1">
      <alignment readingOrder="2"/>
    </xf>
    <xf numFmtId="0" fontId="0" fillId="0" borderId="46" xfId="0" applyNumberFormat="1" applyFont="1" applyFill="1" applyBorder="1" applyAlignment="1">
      <alignment vertical="center" wrapText="1" readingOrder="2"/>
    </xf>
    <xf numFmtId="0" fontId="0" fillId="0" borderId="47" xfId="0" applyNumberFormat="1" applyFont="1" applyFill="1" applyBorder="1" applyAlignment="1">
      <alignment vertical="center" wrapText="1" readingOrder="2"/>
    </xf>
    <xf numFmtId="0" fontId="0" fillId="0" borderId="48" xfId="0" applyNumberFormat="1" applyFont="1" applyFill="1" applyBorder="1" applyAlignment="1">
      <alignment vertical="center" wrapText="1" readingOrder="2"/>
    </xf>
    <xf numFmtId="0" fontId="0" fillId="0" borderId="49" xfId="0" applyNumberFormat="1" applyFont="1" applyFill="1" applyBorder="1" applyAlignment="1">
      <alignment vertical="center" wrapText="1" readingOrder="2"/>
    </xf>
    <xf numFmtId="0" fontId="14" fillId="10" borderId="44" xfId="0" applyNumberFormat="1" applyFont="1" applyFill="1" applyBorder="1" applyAlignment="1">
      <alignment horizontal="center" vertical="center" wrapText="1" readingOrder="2"/>
    </xf>
    <xf numFmtId="0" fontId="14" fillId="10" borderId="45" xfId="0" applyNumberFormat="1" applyFont="1" applyFill="1" applyBorder="1" applyAlignment="1">
      <alignment horizontal="center" vertical="center" wrapText="1" readingOrder="2"/>
    </xf>
    <xf numFmtId="0" fontId="14" fillId="10" borderId="46" xfId="0" applyNumberFormat="1" applyFont="1" applyFill="1" applyBorder="1" applyAlignment="1">
      <alignment horizontal="center" vertical="center" wrapText="1" readingOrder="2"/>
    </xf>
    <xf numFmtId="0" fontId="14" fillId="10" borderId="44" xfId="0" applyNumberFormat="1" applyFont="1" applyFill="1" applyBorder="1" applyAlignment="1">
      <alignment horizontal="center" vertical="center" wrapText="1"/>
    </xf>
    <xf numFmtId="0" fontId="14" fillId="10" borderId="45" xfId="0" applyNumberFormat="1" applyFont="1" applyFill="1" applyBorder="1" applyAlignment="1">
      <alignment horizontal="center" vertical="center" wrapText="1"/>
    </xf>
    <xf numFmtId="3" fontId="5" fillId="6" borderId="14" xfId="0" applyNumberFormat="1" applyFont="1" applyFill="1" applyBorder="1" applyAlignment="1">
      <alignment horizontal="center" vertical="center" wrapText="1"/>
    </xf>
    <xf numFmtId="0" fontId="5" fillId="6" borderId="15" xfId="0" applyNumberFormat="1" applyFont="1" applyFill="1" applyBorder="1" applyAlignment="1">
      <alignment horizontal="center" vertical="center" wrapText="1"/>
    </xf>
    <xf numFmtId="0" fontId="13" fillId="6" borderId="15" xfId="0" applyNumberFormat="1" applyFont="1" applyFill="1" applyBorder="1" applyAlignment="1">
      <alignment horizontal="center" vertical="center" wrapText="1"/>
    </xf>
    <xf numFmtId="0" fontId="13" fillId="6" borderId="16" xfId="0" applyNumberFormat="1" applyFont="1" applyFill="1" applyBorder="1" applyAlignment="1">
      <alignment horizontal="center" vertical="center" wrapText="1"/>
    </xf>
    <xf numFmtId="0" fontId="12" fillId="4" borderId="14" xfId="0" applyNumberFormat="1" applyFont="1" applyFill="1" applyBorder="1" applyAlignment="1">
      <alignment horizontal="center" vertical="center" wrapText="1"/>
    </xf>
    <xf numFmtId="0" fontId="12" fillId="4" borderId="15" xfId="0" applyNumberFormat="1" applyFont="1" applyFill="1" applyBorder="1" applyAlignment="1">
      <alignment horizontal="center" vertical="center"/>
    </xf>
    <xf numFmtId="0" fontId="12" fillId="4" borderId="16" xfId="0" applyNumberFormat="1" applyFont="1" applyFill="1" applyBorder="1" applyAlignment="1">
      <alignment horizontal="center" vertical="center"/>
    </xf>
    <xf numFmtId="0" fontId="4" fillId="3" borderId="31" xfId="0" applyNumberFormat="1" applyFont="1" applyFill="1" applyBorder="1" applyAlignment="1">
      <alignment horizontal="left" vertical="center" wrapText="1"/>
    </xf>
    <xf numFmtId="0" fontId="4" fillId="3" borderId="15" xfId="0" applyNumberFormat="1" applyFont="1" applyFill="1" applyBorder="1" applyAlignment="1">
      <alignment horizontal="left" vertical="center" wrapText="1"/>
    </xf>
    <xf numFmtId="0" fontId="4" fillId="3" borderId="16" xfId="0" applyNumberFormat="1" applyFont="1" applyFill="1" applyBorder="1" applyAlignment="1">
      <alignment horizontal="left" vertical="center" wrapText="1"/>
    </xf>
    <xf numFmtId="0" fontId="4" fillId="3" borderId="25" xfId="0" applyNumberFormat="1" applyFont="1" applyFill="1" applyBorder="1" applyAlignment="1">
      <alignment horizontal="left" vertical="center" wrapText="1"/>
    </xf>
    <xf numFmtId="0" fontId="4" fillId="3" borderId="0" xfId="0" applyNumberFormat="1" applyFont="1" applyFill="1" applyBorder="1" applyAlignment="1">
      <alignment horizontal="left" vertical="center" wrapText="1"/>
    </xf>
    <xf numFmtId="0" fontId="4" fillId="3" borderId="29" xfId="0" applyNumberFormat="1" applyFont="1" applyFill="1" applyBorder="1" applyAlignment="1">
      <alignment horizontal="left" vertical="center" wrapText="1"/>
    </xf>
    <xf numFmtId="0" fontId="4" fillId="3" borderId="23" xfId="0" applyNumberFormat="1" applyFont="1" applyFill="1" applyBorder="1" applyAlignment="1">
      <alignment horizontal="left" vertical="center" wrapText="1"/>
    </xf>
    <xf numFmtId="0" fontId="4" fillId="3" borderId="18" xfId="0" applyNumberFormat="1" applyFont="1" applyFill="1" applyBorder="1" applyAlignment="1">
      <alignment horizontal="left" vertical="center" wrapText="1"/>
    </xf>
    <xf numFmtId="0" fontId="4" fillId="3" borderId="19" xfId="0" applyNumberFormat="1" applyFont="1" applyFill="1" applyBorder="1" applyAlignment="1">
      <alignment horizontal="left" vertical="center" wrapText="1"/>
    </xf>
    <xf numFmtId="0" fontId="4" fillId="0" borderId="14" xfId="0" applyNumberFormat="1" applyFont="1" applyFill="1" applyBorder="1" applyAlignment="1">
      <alignment horizontal="right" vertical="center" wrapText="1"/>
    </xf>
    <xf numFmtId="0" fontId="4" fillId="0" borderId="15" xfId="0" applyNumberFormat="1" applyFont="1" applyFill="1" applyBorder="1" applyAlignment="1">
      <alignment horizontal="right" vertical="center" wrapText="1"/>
    </xf>
    <xf numFmtId="0" fontId="4" fillId="0" borderId="30" xfId="0" applyNumberFormat="1" applyFont="1" applyFill="1" applyBorder="1" applyAlignment="1">
      <alignment horizontal="right" vertical="center" wrapText="1"/>
    </xf>
    <xf numFmtId="0" fontId="4" fillId="0" borderId="28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Fill="1" applyBorder="1" applyAlignment="1">
      <alignment horizontal="right" vertical="center" wrapText="1"/>
    </xf>
    <xf numFmtId="0" fontId="4" fillId="0" borderId="26" xfId="0" applyNumberFormat="1" applyFont="1" applyFill="1" applyBorder="1" applyAlignment="1">
      <alignment horizontal="right" vertical="center" wrapText="1"/>
    </xf>
    <xf numFmtId="0" fontId="4" fillId="0" borderId="17" xfId="0" applyNumberFormat="1" applyFont="1" applyFill="1" applyBorder="1" applyAlignment="1">
      <alignment horizontal="right" vertical="center" wrapText="1"/>
    </xf>
    <xf numFmtId="0" fontId="4" fillId="0" borderId="18" xfId="0" applyNumberFormat="1" applyFont="1" applyFill="1" applyBorder="1" applyAlignment="1">
      <alignment horizontal="right" vertical="center" wrapText="1"/>
    </xf>
    <xf numFmtId="0" fontId="4" fillId="0" borderId="24" xfId="0" applyNumberFormat="1" applyFont="1" applyFill="1" applyBorder="1" applyAlignment="1">
      <alignment horizontal="right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4" fillId="0" borderId="14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30" xfId="0" applyFont="1" applyBorder="1" applyAlignment="1">
      <alignment horizontal="right" vertical="center" wrapText="1"/>
    </xf>
    <xf numFmtId="0" fontId="4" fillId="0" borderId="28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6" xfId="0" applyFont="1" applyBorder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0" fontId="4" fillId="0" borderId="18" xfId="0" applyFont="1" applyBorder="1" applyAlignment="1">
      <alignment horizontal="right" vertical="center" wrapText="1"/>
    </xf>
    <xf numFmtId="0" fontId="4" fillId="0" borderId="24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11" fillId="0" borderId="30" xfId="0" applyFont="1" applyBorder="1" applyAlignment="1">
      <alignment horizontal="right" vertical="center" wrapText="1"/>
    </xf>
    <xf numFmtId="0" fontId="11" fillId="0" borderId="28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26" xfId="0" applyFont="1" applyBorder="1" applyAlignment="1">
      <alignment horizontal="right" vertical="center" wrapText="1"/>
    </xf>
    <xf numFmtId="0" fontId="11" fillId="0" borderId="17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right" vertical="center" wrapText="1"/>
    </xf>
    <xf numFmtId="0" fontId="11" fillId="0" borderId="24" xfId="0" applyFont="1" applyBorder="1" applyAlignment="1">
      <alignment horizontal="right" vertical="center" wrapText="1"/>
    </xf>
    <xf numFmtId="0" fontId="4" fillId="0" borderId="31" xfId="0" applyFont="1" applyBorder="1" applyAlignment="1">
      <alignment horizontal="right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25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4" fillId="0" borderId="23" xfId="0" applyFont="1" applyBorder="1" applyAlignment="1">
      <alignment horizontal="right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9" fillId="2" borderId="27" xfId="0" applyFont="1" applyFill="1" applyBorder="1" applyAlignment="1">
      <alignment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7" fillId="2" borderId="2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vertical="center"/>
    </xf>
    <xf numFmtId="0" fontId="8" fillId="2" borderId="24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vertical="center"/>
    </xf>
    <xf numFmtId="0" fontId="10" fillId="2" borderId="27" xfId="0" applyFont="1" applyFill="1" applyBorder="1" applyAlignment="1">
      <alignment vertical="center"/>
    </xf>
    <xf numFmtId="0" fontId="15" fillId="6" borderId="14" xfId="0" applyNumberFormat="1" applyFont="1" applyFill="1" applyBorder="1" applyAlignment="1">
      <alignment horizontal="center" vertical="center" wrapText="1"/>
    </xf>
    <xf numFmtId="0" fontId="18" fillId="8" borderId="15" xfId="0" applyNumberFormat="1" applyFont="1" applyFill="1" applyBorder="1" applyAlignment="1">
      <alignment horizontal="center" vertical="center" wrapText="1"/>
    </xf>
    <xf numFmtId="0" fontId="19" fillId="8" borderId="15" xfId="0" applyNumberFormat="1" applyFont="1" applyFill="1" applyBorder="1" applyAlignment="1">
      <alignment horizontal="center" vertical="center" wrapText="1"/>
    </xf>
    <xf numFmtId="0" fontId="19" fillId="8" borderId="16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4" fillId="11" borderId="31" xfId="0" applyNumberFormat="1" applyFont="1" applyFill="1" applyBorder="1" applyAlignment="1">
      <alignment horizontal="center" vertical="center" wrapText="1"/>
    </xf>
    <xf numFmtId="0" fontId="21" fillId="11" borderId="15" xfId="0" applyNumberFormat="1" applyFont="1" applyFill="1" applyBorder="1" applyAlignment="1">
      <alignment horizontal="center" vertical="center" wrapText="1"/>
    </xf>
    <xf numFmtId="0" fontId="21" fillId="11" borderId="30" xfId="0" applyNumberFormat="1" applyFont="1" applyFill="1" applyBorder="1" applyAlignment="1">
      <alignment horizontal="center" vertical="center" wrapText="1"/>
    </xf>
    <xf numFmtId="0" fontId="20" fillId="9" borderId="41" xfId="0" applyNumberFormat="1" applyFont="1" applyFill="1" applyBorder="1" applyAlignment="1">
      <alignment horizontal="center" vertical="center" wrapText="1" readingOrder="2"/>
    </xf>
    <xf numFmtId="0" fontId="20" fillId="9" borderId="42" xfId="0" applyNumberFormat="1" applyFont="1" applyFill="1" applyBorder="1" applyAlignment="1">
      <alignment horizontal="center" vertical="center" wrapText="1" readingOrder="2"/>
    </xf>
    <xf numFmtId="0" fontId="20" fillId="9" borderId="43" xfId="0" applyNumberFormat="1" applyFont="1" applyFill="1" applyBorder="1" applyAlignment="1">
      <alignment horizontal="center" vertical="center" wrapText="1" readingOrder="2"/>
    </xf>
    <xf numFmtId="1" fontId="15" fillId="6" borderId="14" xfId="0" applyNumberFormat="1" applyFont="1" applyFill="1" applyBorder="1" applyAlignment="1">
      <alignment horizontal="center" vertical="center" wrapText="1" readingOrder="2"/>
    </xf>
    <xf numFmtId="0" fontId="18" fillId="8" borderId="15" xfId="0" applyNumberFormat="1" applyFont="1" applyFill="1" applyBorder="1" applyAlignment="1">
      <alignment horizontal="center" vertical="center" wrapText="1" readingOrder="2"/>
    </xf>
    <xf numFmtId="0" fontId="19" fillId="8" borderId="15" xfId="0" applyNumberFormat="1" applyFont="1" applyFill="1" applyBorder="1" applyAlignment="1">
      <alignment horizontal="center" vertical="center" wrapText="1" readingOrder="2"/>
    </xf>
    <xf numFmtId="0" fontId="19" fillId="8" borderId="16" xfId="0" applyNumberFormat="1" applyFont="1" applyFill="1" applyBorder="1" applyAlignment="1">
      <alignment horizontal="center" vertical="center" wrapText="1" readingOrder="2"/>
    </xf>
    <xf numFmtId="0" fontId="6" fillId="2" borderId="6" xfId="0" applyFont="1" applyFill="1" applyBorder="1" applyAlignment="1">
      <alignment horizontal="center" vertical="center" readingOrder="2"/>
    </xf>
    <xf numFmtId="0" fontId="9" fillId="2" borderId="9" xfId="0" applyFont="1" applyFill="1" applyBorder="1" applyAlignment="1">
      <alignment vertical="center" readingOrder="2"/>
    </xf>
    <xf numFmtId="0" fontId="9" fillId="2" borderId="27" xfId="0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B10" sqref="B10:I10"/>
    </sheetView>
  </sheetViews>
  <sheetFormatPr defaultRowHeight="14.25"/>
  <cols>
    <col min="1" max="1" width="18" customWidth="1"/>
    <col min="2" max="4" width="14" customWidth="1"/>
    <col min="5" max="5" width="4.75" customWidth="1"/>
    <col min="6" max="8" width="14" customWidth="1"/>
    <col min="9" max="9" width="11.5" customWidth="1"/>
    <col min="10" max="10" width="20" customWidth="1"/>
  </cols>
  <sheetData>
    <row r="1" spans="1:10" ht="27.9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1"/>
    </row>
    <row r="2" spans="1:10" ht="21.95" customHeight="1">
      <c r="A2" s="142" t="s">
        <v>1</v>
      </c>
      <c r="B2" s="143"/>
      <c r="C2" s="143"/>
      <c r="D2" s="143"/>
      <c r="E2" s="143"/>
      <c r="F2" s="143"/>
      <c r="G2" s="143"/>
      <c r="H2" s="143"/>
      <c r="I2" s="143"/>
      <c r="J2" s="144"/>
    </row>
    <row r="3" spans="1:10" ht="20.100000000000001" customHeight="1">
      <c r="A3" s="3" t="s">
        <v>2</v>
      </c>
      <c r="B3" s="136"/>
      <c r="C3" s="137"/>
      <c r="D3" s="137"/>
      <c r="E3" s="138"/>
      <c r="F3" s="138"/>
      <c r="G3" s="138"/>
      <c r="H3" s="138"/>
      <c r="I3" s="152"/>
      <c r="J3" s="4" t="s">
        <v>3</v>
      </c>
    </row>
    <row r="4" spans="1:10" ht="20.100000000000001" customHeight="1">
      <c r="A4" s="5" t="s">
        <v>4</v>
      </c>
      <c r="B4" s="136"/>
      <c r="C4" s="137"/>
      <c r="D4" s="137"/>
      <c r="E4" s="138"/>
      <c r="F4" s="138"/>
      <c r="G4" s="138"/>
      <c r="H4" s="138"/>
      <c r="I4" s="152"/>
      <c r="J4" s="6" t="s">
        <v>5</v>
      </c>
    </row>
    <row r="5" spans="1:10" ht="20.100000000000001" customHeight="1">
      <c r="A5" s="5" t="s">
        <v>6</v>
      </c>
      <c r="B5" s="136"/>
      <c r="C5" s="137"/>
      <c r="D5" s="137"/>
      <c r="E5" s="138"/>
      <c r="F5" s="138"/>
      <c r="G5" s="138"/>
      <c r="H5" s="138"/>
      <c r="I5" s="152"/>
      <c r="J5" s="6" t="s">
        <v>7</v>
      </c>
    </row>
    <row r="6" spans="1:10" ht="20.100000000000001" customHeight="1">
      <c r="A6" s="5" t="s">
        <v>8</v>
      </c>
      <c r="B6" s="136"/>
      <c r="C6" s="137"/>
      <c r="D6" s="137"/>
      <c r="E6" s="138"/>
      <c r="F6" s="138"/>
      <c r="G6" s="138"/>
      <c r="H6" s="138"/>
      <c r="I6" s="152"/>
      <c r="J6" s="6" t="s">
        <v>9</v>
      </c>
    </row>
    <row r="7" spans="1:10" ht="20.100000000000001" customHeight="1">
      <c r="A7" s="7" t="s">
        <v>10</v>
      </c>
      <c r="B7" s="136"/>
      <c r="C7" s="137"/>
      <c r="D7" s="137"/>
      <c r="E7" s="138"/>
      <c r="F7" s="138"/>
      <c r="G7" s="138"/>
      <c r="H7" s="138"/>
      <c r="I7" s="152"/>
      <c r="J7" s="8" t="s">
        <v>11</v>
      </c>
    </row>
    <row r="8" spans="1:10" ht="21.95" customHeight="1">
      <c r="A8" s="145" t="s">
        <v>12</v>
      </c>
      <c r="B8" s="146"/>
      <c r="C8" s="146"/>
      <c r="D8" s="146"/>
      <c r="E8" s="146"/>
      <c r="F8" s="146"/>
      <c r="G8" s="146"/>
      <c r="H8" s="146"/>
      <c r="I8" s="146"/>
      <c r="J8" s="147"/>
    </row>
    <row r="9" spans="1:10" ht="24" customHeight="1">
      <c r="A9" s="153" t="s">
        <v>12</v>
      </c>
      <c r="B9" s="154"/>
      <c r="C9" s="154"/>
      <c r="D9" s="154"/>
      <c r="E9" s="154"/>
      <c r="F9" s="154"/>
      <c r="G9" s="154"/>
      <c r="H9" s="154"/>
      <c r="I9" s="154"/>
      <c r="J9" s="155"/>
    </row>
    <row r="10" spans="1:10" ht="24" customHeight="1">
      <c r="A10" s="19" t="s">
        <v>58</v>
      </c>
      <c r="B10" s="148" t="s">
        <v>130</v>
      </c>
      <c r="C10" s="149" t="s">
        <v>59</v>
      </c>
      <c r="D10" s="149"/>
      <c r="E10" s="150"/>
      <c r="F10" s="150"/>
      <c r="G10" s="150"/>
      <c r="H10" s="150"/>
      <c r="I10" s="151"/>
      <c r="J10" s="21" t="s">
        <v>60</v>
      </c>
    </row>
    <row r="11" spans="1:10" ht="24" customHeight="1">
      <c r="A11" s="20" t="s">
        <v>61</v>
      </c>
      <c r="B11" s="159" t="s">
        <v>103</v>
      </c>
      <c r="C11" s="160" t="str">
        <f>IF($B$10="","الخيارات المتاحة تظهر هنا بعد اختيار مدة الخدمة",IF($B$10="من 3 سنوات و4 أشهر إلى أقل من 5 سنوات","المتاح: 3 أشهر",IF($B$10="من 5 سنوات إلى أقل من 5 سنوات و10 أشهر","المتاح: 6 أشهر أو 9 أشهر",IF($B$10="من 5 سنوات و10 أشهر فأكثر","المتاح: 6 أشهر أو 9 أشهر أو 12 شهرًا",""))))</f>
        <v/>
      </c>
      <c r="D11" s="160"/>
      <c r="E11" s="161"/>
      <c r="F11" s="161"/>
      <c r="G11" s="161"/>
      <c r="H11" s="161"/>
      <c r="I11" s="162"/>
      <c r="J11" s="22" t="s">
        <v>62</v>
      </c>
    </row>
    <row r="12" spans="1:10" ht="24" customHeight="1">
      <c r="A12" s="20" t="s">
        <v>63</v>
      </c>
      <c r="B12" s="36"/>
      <c r="C12" s="37"/>
      <c r="D12" s="37"/>
      <c r="E12" s="38"/>
      <c r="F12" s="38"/>
      <c r="G12" s="38"/>
      <c r="H12" s="38"/>
      <c r="I12" s="39"/>
      <c r="J12" s="22" t="s">
        <v>64</v>
      </c>
    </row>
    <row r="13" spans="1:10" ht="24" customHeight="1">
      <c r="A13" s="20" t="s">
        <v>65</v>
      </c>
      <c r="B13" s="36">
        <f>IF($B$11="","",IF(ISNUMBER(SEARCH("12",$B$11)),12*$B$12,IF(ISNUMBER(SEARCH("9",$B$11)),9*$B$12,IF(ISNUMBER(SEARCH("6",$B$11)),6*$B$12,IF(ISNUMBER(SEARCH("3",$B$11)),3*$B$12,"")))))</f>
        <v>0</v>
      </c>
      <c r="C13" s="37"/>
      <c r="D13" s="37"/>
      <c r="E13" s="38"/>
      <c r="F13" s="38"/>
      <c r="G13" s="38"/>
      <c r="H13" s="38"/>
      <c r="I13" s="39"/>
      <c r="J13" s="22" t="s">
        <v>66</v>
      </c>
    </row>
    <row r="14" spans="1:10" ht="82.5" customHeight="1">
      <c r="A14" s="15" t="s">
        <v>13</v>
      </c>
      <c r="B14" s="40" t="s">
        <v>125</v>
      </c>
      <c r="C14" s="41" t="s">
        <v>14</v>
      </c>
      <c r="D14" s="41" t="s">
        <v>14</v>
      </c>
      <c r="E14" s="41" t="s">
        <v>14</v>
      </c>
      <c r="F14" s="41" t="s">
        <v>14</v>
      </c>
      <c r="G14" s="41" t="s">
        <v>14</v>
      </c>
      <c r="H14" s="41" t="s">
        <v>14</v>
      </c>
      <c r="I14" s="42" t="s">
        <v>14</v>
      </c>
      <c r="J14" s="16" t="s">
        <v>15</v>
      </c>
    </row>
    <row r="15" spans="1:10" ht="36" customHeight="1">
      <c r="A15" s="43" t="s">
        <v>16</v>
      </c>
      <c r="B15" s="44"/>
      <c r="C15" s="44"/>
      <c r="D15" s="44"/>
      <c r="E15" s="45"/>
      <c r="F15" s="52" t="s">
        <v>17</v>
      </c>
      <c r="G15" s="53"/>
      <c r="H15" s="53"/>
      <c r="I15" s="53"/>
      <c r="J15" s="54"/>
    </row>
    <row r="16" spans="1:10" ht="36" customHeight="1">
      <c r="A16" s="46"/>
      <c r="B16" s="47"/>
      <c r="C16" s="47"/>
      <c r="D16" s="47"/>
      <c r="E16" s="48"/>
      <c r="F16" s="55"/>
      <c r="G16" s="56"/>
      <c r="H16" s="56"/>
      <c r="I16" s="56"/>
      <c r="J16" s="57"/>
    </row>
    <row r="17" spans="1:10" ht="36" customHeight="1">
      <c r="A17" s="49"/>
      <c r="B17" s="50"/>
      <c r="C17" s="50"/>
      <c r="D17" s="50"/>
      <c r="E17" s="51"/>
      <c r="F17" s="58"/>
      <c r="G17" s="59"/>
      <c r="H17" s="59"/>
      <c r="I17" s="59"/>
      <c r="J17" s="60"/>
    </row>
    <row r="18" spans="1:10" ht="32.1" customHeight="1">
      <c r="A18" s="66" t="s">
        <v>18</v>
      </c>
      <c r="B18" s="67"/>
      <c r="C18" s="67"/>
      <c r="D18" s="67"/>
      <c r="E18" s="68"/>
      <c r="F18" s="78" t="s">
        <v>19</v>
      </c>
      <c r="G18" s="79"/>
      <c r="H18" s="79"/>
      <c r="I18" s="79"/>
      <c r="J18" s="80"/>
    </row>
    <row r="19" spans="1:10" ht="32.1" customHeight="1">
      <c r="A19" s="69"/>
      <c r="B19" s="70"/>
      <c r="C19" s="70"/>
      <c r="D19" s="70"/>
      <c r="E19" s="71"/>
      <c r="F19" s="81"/>
      <c r="G19" s="82"/>
      <c r="H19" s="82"/>
      <c r="I19" s="82"/>
      <c r="J19" s="83"/>
    </row>
    <row r="20" spans="1:10" ht="32.1" customHeight="1">
      <c r="A20" s="72"/>
      <c r="B20" s="73"/>
      <c r="C20" s="73"/>
      <c r="D20" s="73"/>
      <c r="E20" s="74"/>
      <c r="F20" s="84"/>
      <c r="G20" s="85"/>
      <c r="H20" s="85"/>
      <c r="I20" s="85"/>
      <c r="J20" s="86"/>
    </row>
    <row r="21" spans="1:10" ht="45" customHeight="1">
      <c r="A21" s="95" t="s">
        <v>20</v>
      </c>
      <c r="B21" s="79"/>
      <c r="C21" s="79"/>
      <c r="D21" s="96"/>
      <c r="E21" s="97"/>
      <c r="F21" s="78" t="s">
        <v>21</v>
      </c>
      <c r="G21" s="87"/>
      <c r="H21" s="87"/>
      <c r="I21" s="87"/>
      <c r="J21" s="88"/>
    </row>
    <row r="22" spans="1:10" ht="20.100000000000001" customHeight="1">
      <c r="A22" s="98"/>
      <c r="B22" s="82"/>
      <c r="C22" s="82"/>
      <c r="D22" s="99"/>
      <c r="E22" s="100"/>
      <c r="F22" s="89"/>
      <c r="G22" s="90"/>
      <c r="H22" s="90"/>
      <c r="I22" s="90"/>
      <c r="J22" s="91"/>
    </row>
    <row r="23" spans="1:10" ht="20.100000000000001" customHeight="1">
      <c r="A23" s="101"/>
      <c r="B23" s="85"/>
      <c r="C23" s="85"/>
      <c r="D23" s="102"/>
      <c r="E23" s="103"/>
      <c r="F23" s="92"/>
      <c r="G23" s="93"/>
      <c r="H23" s="93"/>
      <c r="I23" s="93"/>
      <c r="J23" s="94"/>
    </row>
    <row r="24" spans="1:10" ht="21.95" customHeight="1">
      <c r="A24" s="75" t="s">
        <v>22</v>
      </c>
      <c r="B24" s="76"/>
      <c r="C24" s="76"/>
      <c r="D24" s="76"/>
      <c r="E24" s="76"/>
      <c r="F24" s="76"/>
      <c r="G24" s="76"/>
      <c r="H24" s="76"/>
      <c r="I24" s="76"/>
      <c r="J24" s="77"/>
    </row>
    <row r="25" spans="1:10" ht="20.100000000000001" customHeight="1">
      <c r="A25" s="9" t="s">
        <v>23</v>
      </c>
      <c r="B25" s="64"/>
      <c r="C25" s="64"/>
      <c r="D25" s="64"/>
      <c r="E25" s="64"/>
      <c r="F25" s="64"/>
      <c r="G25" s="64"/>
      <c r="H25" s="64"/>
      <c r="I25" s="64"/>
      <c r="J25" s="10" t="s">
        <v>24</v>
      </c>
    </row>
    <row r="26" spans="1:10" ht="29.25" customHeight="1">
      <c r="A26" s="11" t="s">
        <v>25</v>
      </c>
      <c r="B26" s="65" t="s">
        <v>67</v>
      </c>
      <c r="C26" s="65"/>
      <c r="D26" s="65"/>
      <c r="E26" s="65"/>
      <c r="F26" s="65"/>
      <c r="G26" s="65"/>
      <c r="H26" s="65"/>
      <c r="I26" s="65"/>
      <c r="J26" s="12" t="s">
        <v>26</v>
      </c>
    </row>
    <row r="27" spans="1:10" ht="28.5" customHeight="1">
      <c r="A27" s="11" t="s">
        <v>27</v>
      </c>
      <c r="B27" s="64"/>
      <c r="C27" s="64"/>
      <c r="D27" s="64"/>
      <c r="E27" s="64"/>
      <c r="F27" s="64"/>
      <c r="G27" s="64"/>
      <c r="H27" s="64"/>
      <c r="I27" s="64"/>
      <c r="J27" s="12" t="s">
        <v>28</v>
      </c>
    </row>
    <row r="28" spans="1:10" ht="29.25" customHeight="1">
      <c r="A28" s="13" t="s">
        <v>29</v>
      </c>
      <c r="B28" s="64"/>
      <c r="C28" s="64"/>
      <c r="D28" s="64"/>
      <c r="E28" s="64"/>
      <c r="F28" s="64"/>
      <c r="G28" s="64"/>
      <c r="H28" s="64"/>
      <c r="I28" s="64"/>
      <c r="J28" s="14" t="s">
        <v>30</v>
      </c>
    </row>
    <row r="29" spans="1:10" ht="21.95" customHeight="1">
      <c r="A29" s="75" t="s">
        <v>31</v>
      </c>
      <c r="B29" s="76"/>
      <c r="C29" s="76"/>
      <c r="D29" s="76"/>
      <c r="E29" s="76"/>
      <c r="F29" s="76"/>
      <c r="G29" s="76"/>
      <c r="H29" s="76"/>
      <c r="I29" s="76"/>
      <c r="J29" s="77"/>
    </row>
    <row r="30" spans="1:10" ht="25.5" customHeight="1">
      <c r="A30" s="9" t="s">
        <v>32</v>
      </c>
      <c r="B30" s="136"/>
      <c r="C30" s="137"/>
      <c r="D30" s="137"/>
      <c r="E30" s="138"/>
      <c r="F30" s="64"/>
      <c r="G30" s="64"/>
      <c r="H30" s="64"/>
      <c r="I30" s="64"/>
      <c r="J30" s="10" t="s">
        <v>33</v>
      </c>
    </row>
    <row r="31" spans="1:10" ht="26.25" customHeight="1">
      <c r="A31" s="9" t="s">
        <v>34</v>
      </c>
      <c r="B31" s="61"/>
      <c r="C31" s="62"/>
      <c r="D31" s="62"/>
      <c r="E31" s="63"/>
      <c r="F31" s="64"/>
      <c r="G31" s="64"/>
      <c r="H31" s="64"/>
      <c r="I31" s="64"/>
      <c r="J31" s="12" t="s">
        <v>35</v>
      </c>
    </row>
    <row r="32" spans="1:10" ht="37.5" customHeight="1">
      <c r="A32" s="11" t="s">
        <v>36</v>
      </c>
      <c r="B32" s="61"/>
      <c r="C32" s="62"/>
      <c r="D32" s="62"/>
      <c r="E32" s="63"/>
      <c r="F32" s="64"/>
      <c r="G32" s="64"/>
      <c r="H32" s="64"/>
      <c r="I32" s="64"/>
      <c r="J32" s="12" t="s">
        <v>37</v>
      </c>
    </row>
    <row r="33" spans="1:10" ht="30" customHeight="1">
      <c r="A33" s="11" t="s">
        <v>38</v>
      </c>
      <c r="B33" s="61"/>
      <c r="C33" s="62"/>
      <c r="D33" s="62"/>
      <c r="E33" s="63"/>
      <c r="F33" s="64"/>
      <c r="G33" s="64"/>
      <c r="H33" s="64"/>
      <c r="I33" s="64"/>
      <c r="J33" s="12" t="s">
        <v>39</v>
      </c>
    </row>
    <row r="34" spans="1:10" ht="39.6" customHeight="1">
      <c r="A34" s="11" t="s">
        <v>40</v>
      </c>
      <c r="B34" s="61"/>
      <c r="C34" s="62"/>
      <c r="D34" s="62"/>
      <c r="E34" s="63"/>
      <c r="F34" s="64"/>
      <c r="G34" s="64"/>
      <c r="H34" s="64"/>
      <c r="I34" s="64"/>
      <c r="J34" s="12" t="s">
        <v>41</v>
      </c>
    </row>
    <row r="35" spans="1:10" ht="29.25" customHeight="1">
      <c r="A35" s="11" t="s">
        <v>42</v>
      </c>
      <c r="B35" s="61"/>
      <c r="C35" s="62"/>
      <c r="D35" s="62"/>
      <c r="E35" s="63"/>
      <c r="F35" s="64"/>
      <c r="G35" s="64"/>
      <c r="H35" s="64"/>
      <c r="I35" s="64"/>
      <c r="J35" s="12" t="s">
        <v>43</v>
      </c>
    </row>
    <row r="36" spans="1:10" ht="37.5" customHeight="1">
      <c r="A36" s="11" t="s">
        <v>44</v>
      </c>
      <c r="B36" s="61"/>
      <c r="C36" s="62"/>
      <c r="D36" s="62"/>
      <c r="E36" s="63"/>
      <c r="F36" s="64"/>
      <c r="G36" s="64"/>
      <c r="H36" s="64"/>
      <c r="I36" s="64"/>
      <c r="J36" s="12" t="s">
        <v>45</v>
      </c>
    </row>
    <row r="37" spans="1:10" ht="33" customHeight="1">
      <c r="A37" s="13" t="s">
        <v>46</v>
      </c>
      <c r="B37" s="61"/>
      <c r="C37" s="62"/>
      <c r="D37" s="62"/>
      <c r="E37" s="63"/>
      <c r="F37" s="64"/>
      <c r="G37" s="64"/>
      <c r="H37" s="64"/>
      <c r="I37" s="64"/>
      <c r="J37" s="14" t="s">
        <v>47</v>
      </c>
    </row>
    <row r="38" spans="1:10" ht="21.95" customHeight="1">
      <c r="A38" s="118" t="s">
        <v>48</v>
      </c>
      <c r="B38" s="119"/>
      <c r="C38" s="119"/>
      <c r="D38" s="119"/>
      <c r="E38" s="119"/>
      <c r="F38" s="119"/>
      <c r="G38" s="119"/>
      <c r="H38" s="119"/>
      <c r="I38" s="119"/>
      <c r="J38" s="120"/>
    </row>
    <row r="39" spans="1:10" ht="27" customHeight="1">
      <c r="A39" s="163" t="s">
        <v>49</v>
      </c>
      <c r="B39" s="164"/>
      <c r="C39" s="164"/>
      <c r="D39" s="164"/>
      <c r="E39" s="164"/>
      <c r="F39" s="164"/>
      <c r="G39" s="164"/>
      <c r="H39" s="164"/>
      <c r="I39" s="164"/>
      <c r="J39" s="165"/>
    </row>
    <row r="40" spans="1:10" ht="48" customHeight="1">
      <c r="A40" s="121" t="s">
        <v>50</v>
      </c>
      <c r="B40" s="122"/>
      <c r="C40" s="122"/>
      <c r="D40" s="122"/>
      <c r="E40" s="123"/>
      <c r="F40" s="130" t="s">
        <v>51</v>
      </c>
      <c r="G40" s="122"/>
      <c r="H40" s="122"/>
      <c r="I40" s="122"/>
      <c r="J40" s="131"/>
    </row>
    <row r="41" spans="1:10" ht="20.100000000000001" customHeight="1">
      <c r="A41" s="124"/>
      <c r="B41" s="125"/>
      <c r="C41" s="125"/>
      <c r="D41" s="125"/>
      <c r="E41" s="126"/>
      <c r="F41" s="132"/>
      <c r="G41" s="125"/>
      <c r="H41" s="125"/>
      <c r="I41" s="125"/>
      <c r="J41" s="133"/>
    </row>
    <row r="42" spans="1:10" ht="20.100000000000001" customHeight="1">
      <c r="A42" s="127"/>
      <c r="B42" s="128"/>
      <c r="C42" s="128"/>
      <c r="D42" s="128"/>
      <c r="E42" s="129"/>
      <c r="F42" s="134"/>
      <c r="G42" s="128"/>
      <c r="H42" s="128"/>
      <c r="I42" s="128"/>
      <c r="J42" s="135"/>
    </row>
    <row r="43" spans="1:10" ht="20.100000000000001" customHeight="1">
      <c r="A43" s="107" t="s">
        <v>52</v>
      </c>
      <c r="B43" s="108"/>
      <c r="C43" s="109" t="s">
        <v>53</v>
      </c>
      <c r="D43" s="109"/>
      <c r="E43" s="109"/>
      <c r="F43" s="110" t="s">
        <v>54</v>
      </c>
      <c r="G43" s="110"/>
      <c r="H43" s="110"/>
      <c r="I43" s="110"/>
      <c r="J43" s="1">
        <v>7</v>
      </c>
    </row>
    <row r="44" spans="1:10" ht="20.100000000000001" customHeight="1">
      <c r="A44" s="111"/>
      <c r="B44" s="112"/>
      <c r="C44" s="113"/>
      <c r="D44" s="114"/>
      <c r="E44" s="112"/>
      <c r="F44" s="115" t="s">
        <v>55</v>
      </c>
      <c r="G44" s="116"/>
      <c r="H44" s="116"/>
      <c r="I44" s="117"/>
      <c r="J44" s="2" t="s">
        <v>56</v>
      </c>
    </row>
    <row r="45" spans="1:10" ht="18" customHeight="1">
      <c r="A45" s="104" t="s">
        <v>57</v>
      </c>
      <c r="B45" s="105"/>
      <c r="C45" s="105"/>
      <c r="D45" s="105"/>
      <c r="E45" s="105"/>
      <c r="F45" s="105"/>
      <c r="G45" s="105"/>
      <c r="H45" s="105"/>
      <c r="I45" s="105"/>
      <c r="J45" s="106"/>
    </row>
  </sheetData>
  <mergeCells count="53">
    <mergeCell ref="A1:J1"/>
    <mergeCell ref="A2:J2"/>
    <mergeCell ref="A8:J8"/>
    <mergeCell ref="B10:I10"/>
    <mergeCell ref="B11:I11"/>
    <mergeCell ref="B3:I3"/>
    <mergeCell ref="B4:I4"/>
    <mergeCell ref="B5:I5"/>
    <mergeCell ref="B6:I6"/>
    <mergeCell ref="B7:I7"/>
    <mergeCell ref="A9:J9"/>
    <mergeCell ref="A38:J38"/>
    <mergeCell ref="A39:J39"/>
    <mergeCell ref="A40:E42"/>
    <mergeCell ref="F40:J42"/>
    <mergeCell ref="F30:I30"/>
    <mergeCell ref="F37:I37"/>
    <mergeCell ref="F36:I36"/>
    <mergeCell ref="F35:I35"/>
    <mergeCell ref="F34:I34"/>
    <mergeCell ref="B37:E37"/>
    <mergeCell ref="F33:I33"/>
    <mergeCell ref="F32:I32"/>
    <mergeCell ref="F31:I31"/>
    <mergeCell ref="B35:E35"/>
    <mergeCell ref="B36:E36"/>
    <mergeCell ref="B30:E30"/>
    <mergeCell ref="A45:J45"/>
    <mergeCell ref="A43:B43"/>
    <mergeCell ref="C43:E43"/>
    <mergeCell ref="F43:I43"/>
    <mergeCell ref="A44:B44"/>
    <mergeCell ref="C44:E44"/>
    <mergeCell ref="F44:I44"/>
    <mergeCell ref="A18:E20"/>
    <mergeCell ref="A29:J29"/>
    <mergeCell ref="F18:J20"/>
    <mergeCell ref="A24:J24"/>
    <mergeCell ref="F21:J23"/>
    <mergeCell ref="A21:E23"/>
    <mergeCell ref="B31:E31"/>
    <mergeCell ref="B32:E32"/>
    <mergeCell ref="B33:E33"/>
    <mergeCell ref="B34:E34"/>
    <mergeCell ref="B25:I25"/>
    <mergeCell ref="B28:I28"/>
    <mergeCell ref="B27:I27"/>
    <mergeCell ref="B26:I26"/>
    <mergeCell ref="B12:I12"/>
    <mergeCell ref="B13:I13"/>
    <mergeCell ref="B14:I14"/>
    <mergeCell ref="A15:E17"/>
    <mergeCell ref="F15:J1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اختيار غير صحيح" error="الخيار غير متاح لشريحة مدة الخدمة المختارة." promptTitle="مدة بدل السكن المطلوبة" prompt="اختر عدد الأشهر من الخيارات المتاحة فقط.">
          <x14:formula1>
            <xm:f>OFFSET(Lists!$B$2,MATCH($B$10,Lists!$A$2:$A$4,0)-1,0,1,COUNTA(OFFSET(Lists!$B$2,MATCH($B$10,Lists!$A$2:$A$4,0)-1,0,1,3)))</xm:f>
          </x14:formula1>
          <xm:sqref>B11</xm:sqref>
        </x14:dataValidation>
        <x14:dataValidation type="list" showInputMessage="1" showErrorMessage="1" errorTitle="اختيار غير صحيح" error="اختر مدة الخدمة من القائمة فقط." promptTitle="مدة الخدمة" prompt="اختر شريحة مدة الخدمة أولا.">
          <x14:formula1>
            <xm:f>Lists!$A$2:$A$4</xm:f>
          </x14:formula1>
          <xm:sqref>B10:I10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rightToLeft="1" workbookViewId="0">
      <selection activeCell="C26" sqref="C26"/>
    </sheetView>
  </sheetViews>
  <sheetFormatPr defaultRowHeight="14.25"/>
  <cols>
    <col min="1" max="1" width="32" style="26" customWidth="1"/>
    <col min="2" max="2" width="24" style="26" customWidth="1"/>
    <col min="3" max="3" width="34" style="26" customWidth="1"/>
    <col min="4" max="6" width="22" style="26" customWidth="1"/>
    <col min="7" max="16384" width="9" style="26"/>
  </cols>
  <sheetData>
    <row r="1" spans="1:8" ht="18">
      <c r="A1" s="156" t="s">
        <v>68</v>
      </c>
      <c r="B1" s="157"/>
      <c r="C1" s="157"/>
      <c r="D1" s="157"/>
      <c r="E1" s="157"/>
      <c r="F1" s="157"/>
      <c r="G1" s="157"/>
      <c r="H1" s="158"/>
    </row>
    <row r="2" spans="1:8" ht="15">
      <c r="A2" s="31" t="s">
        <v>69</v>
      </c>
      <c r="B2" s="32"/>
      <c r="C2" s="32"/>
      <c r="D2" s="32"/>
      <c r="E2" s="32"/>
      <c r="F2" s="32"/>
      <c r="G2" s="32"/>
      <c r="H2" s="33"/>
    </row>
    <row r="3" spans="1:8">
      <c r="A3" s="24" t="s">
        <v>70</v>
      </c>
      <c r="B3" s="25">
        <v>5000</v>
      </c>
      <c r="C3" s="25" t="s">
        <v>71</v>
      </c>
      <c r="D3" s="25"/>
      <c r="E3" s="25"/>
      <c r="F3" s="25"/>
      <c r="G3" s="25"/>
      <c r="H3" s="27"/>
    </row>
    <row r="4" spans="1:8">
      <c r="A4" s="24" t="s">
        <v>72</v>
      </c>
      <c r="B4" s="25">
        <v>1250</v>
      </c>
      <c r="C4" s="25" t="s">
        <v>71</v>
      </c>
      <c r="D4" s="25"/>
      <c r="E4" s="25"/>
      <c r="F4" s="25"/>
      <c r="G4" s="25"/>
      <c r="H4" s="27"/>
    </row>
    <row r="5" spans="1:8">
      <c r="A5" s="24" t="s">
        <v>73</v>
      </c>
      <c r="B5" s="25">
        <v>500</v>
      </c>
      <c r="C5" s="25" t="s">
        <v>71</v>
      </c>
      <c r="D5" s="25"/>
      <c r="E5" s="25"/>
      <c r="F5" s="25"/>
      <c r="G5" s="25"/>
      <c r="H5" s="27"/>
    </row>
    <row r="6" spans="1:8">
      <c r="A6" s="24" t="s">
        <v>74</v>
      </c>
      <c r="B6" s="25">
        <f>B3+B4+B5</f>
        <v>6750</v>
      </c>
      <c r="C6" s="25" t="s">
        <v>71</v>
      </c>
      <c r="D6" s="25"/>
      <c r="E6" s="25"/>
      <c r="F6" s="25"/>
      <c r="G6" s="25"/>
      <c r="H6" s="27"/>
    </row>
    <row r="7" spans="1:8">
      <c r="A7" s="24"/>
      <c r="B7" s="25"/>
      <c r="C7" s="25"/>
      <c r="D7" s="25"/>
      <c r="E7" s="25"/>
      <c r="F7" s="25"/>
      <c r="G7" s="25"/>
      <c r="H7" s="27"/>
    </row>
    <row r="8" spans="1:8" ht="15">
      <c r="A8" s="34" t="s">
        <v>75</v>
      </c>
      <c r="B8" s="35" t="s">
        <v>76</v>
      </c>
      <c r="C8" s="35" t="s">
        <v>77</v>
      </c>
      <c r="D8" s="25"/>
      <c r="E8" s="25"/>
      <c r="F8" s="25"/>
      <c r="G8" s="25"/>
      <c r="H8" s="27"/>
    </row>
    <row r="9" spans="1:8">
      <c r="A9" s="17" t="s">
        <v>78</v>
      </c>
      <c r="B9" s="18" t="s">
        <v>79</v>
      </c>
      <c r="C9" s="18" t="s">
        <v>80</v>
      </c>
      <c r="D9" s="25"/>
      <c r="E9" s="25"/>
      <c r="F9" s="25"/>
      <c r="G9" s="25"/>
      <c r="H9" s="27"/>
    </row>
    <row r="10" spans="1:8">
      <c r="A10" s="17" t="s">
        <v>81</v>
      </c>
      <c r="B10" s="18" t="s">
        <v>82</v>
      </c>
      <c r="C10" s="18" t="s">
        <v>83</v>
      </c>
      <c r="D10" s="25"/>
      <c r="E10" s="25"/>
      <c r="F10" s="25"/>
      <c r="G10" s="25"/>
      <c r="H10" s="27"/>
    </row>
    <row r="11" spans="1:8">
      <c r="A11" s="17" t="s">
        <v>84</v>
      </c>
      <c r="B11" s="18" t="s">
        <v>85</v>
      </c>
      <c r="C11" s="18" t="s">
        <v>86</v>
      </c>
      <c r="D11" s="25"/>
      <c r="E11" s="25"/>
      <c r="F11" s="25"/>
      <c r="G11" s="25"/>
      <c r="H11" s="27"/>
    </row>
    <row r="12" spans="1:8">
      <c r="A12" s="17" t="s">
        <v>87</v>
      </c>
      <c r="B12" s="18" t="s">
        <v>88</v>
      </c>
      <c r="C12" s="18" t="s">
        <v>89</v>
      </c>
      <c r="D12" s="25"/>
      <c r="E12" s="25"/>
      <c r="F12" s="25"/>
      <c r="G12" s="25"/>
      <c r="H12" s="27"/>
    </row>
    <row r="13" spans="1:8">
      <c r="A13" s="24"/>
      <c r="B13" s="25"/>
      <c r="C13" s="25"/>
      <c r="D13" s="25"/>
      <c r="E13" s="25"/>
      <c r="F13" s="25"/>
      <c r="G13" s="25"/>
      <c r="H13" s="27"/>
    </row>
    <row r="14" spans="1:8" ht="30">
      <c r="A14" s="31" t="s">
        <v>90</v>
      </c>
      <c r="B14" s="32" t="s">
        <v>91</v>
      </c>
      <c r="C14" s="32" t="s">
        <v>92</v>
      </c>
      <c r="D14" s="32" t="s">
        <v>93</v>
      </c>
      <c r="E14" s="32" t="s">
        <v>94</v>
      </c>
      <c r="F14" s="32" t="s">
        <v>95</v>
      </c>
      <c r="G14" s="25"/>
      <c r="H14" s="27"/>
    </row>
    <row r="15" spans="1:8">
      <c r="A15" s="24" t="s">
        <v>96</v>
      </c>
      <c r="B15" s="25" t="s">
        <v>97</v>
      </c>
      <c r="C15" s="25" t="s">
        <v>98</v>
      </c>
      <c r="D15" s="25">
        <v>0</v>
      </c>
      <c r="E15" s="25" t="s">
        <v>99</v>
      </c>
      <c r="F15" s="25" t="s">
        <v>100</v>
      </c>
      <c r="G15" s="25"/>
      <c r="H15" s="27"/>
    </row>
    <row r="16" spans="1:8">
      <c r="A16" s="24" t="s">
        <v>101</v>
      </c>
      <c r="B16" s="25" t="s">
        <v>102</v>
      </c>
      <c r="C16" s="25" t="s">
        <v>103</v>
      </c>
      <c r="D16" s="25">
        <v>3750</v>
      </c>
      <c r="E16" s="25">
        <v>3750</v>
      </c>
      <c r="F16" s="25" t="s">
        <v>104</v>
      </c>
      <c r="G16" s="25"/>
      <c r="H16" s="27"/>
    </row>
    <row r="17" spans="1:8">
      <c r="A17" s="24" t="s">
        <v>105</v>
      </c>
      <c r="B17" s="25" t="s">
        <v>106</v>
      </c>
      <c r="C17" s="25" t="s">
        <v>107</v>
      </c>
      <c r="D17" s="25">
        <v>11250</v>
      </c>
      <c r="E17" s="25">
        <v>11250</v>
      </c>
      <c r="F17" s="25" t="s">
        <v>108</v>
      </c>
      <c r="G17" s="25"/>
      <c r="H17" s="27"/>
    </row>
    <row r="18" spans="1:8">
      <c r="A18" s="24" t="s">
        <v>109</v>
      </c>
      <c r="B18" s="25" t="s">
        <v>110</v>
      </c>
      <c r="C18" s="25" t="s">
        <v>111</v>
      </c>
      <c r="D18" s="25">
        <v>15000</v>
      </c>
      <c r="E18" s="25">
        <v>15000</v>
      </c>
      <c r="F18" s="25" t="s">
        <v>112</v>
      </c>
      <c r="G18" s="25"/>
      <c r="H18" s="27"/>
    </row>
    <row r="19" spans="1:8">
      <c r="A19" s="24"/>
      <c r="B19" s="25"/>
      <c r="C19" s="25"/>
      <c r="D19" s="25"/>
      <c r="E19" s="25"/>
      <c r="F19" s="25"/>
      <c r="G19" s="25"/>
      <c r="H19" s="27"/>
    </row>
    <row r="20" spans="1:8" ht="15">
      <c r="A20" s="31" t="s">
        <v>113</v>
      </c>
      <c r="B20" s="32" t="s">
        <v>114</v>
      </c>
      <c r="C20" s="32"/>
      <c r="D20" s="32"/>
      <c r="E20" s="25"/>
      <c r="F20" s="25"/>
      <c r="G20" s="25"/>
      <c r="H20" s="27"/>
    </row>
    <row r="21" spans="1:8" ht="15">
      <c r="A21" s="31" t="s">
        <v>60</v>
      </c>
      <c r="B21" s="32" t="s">
        <v>115</v>
      </c>
      <c r="C21" s="32" t="s">
        <v>116</v>
      </c>
      <c r="D21" s="32" t="s">
        <v>117</v>
      </c>
      <c r="E21" s="25"/>
      <c r="F21" s="25"/>
      <c r="G21" s="25"/>
      <c r="H21" s="27"/>
    </row>
    <row r="22" spans="1:8">
      <c r="A22" s="24" t="s">
        <v>101</v>
      </c>
      <c r="B22" s="25" t="s">
        <v>103</v>
      </c>
      <c r="C22" s="25"/>
      <c r="D22" s="25"/>
      <c r="E22" s="25"/>
      <c r="F22" s="25"/>
      <c r="G22" s="25"/>
      <c r="H22" s="27"/>
    </row>
    <row r="23" spans="1:8">
      <c r="A23" s="24" t="s">
        <v>105</v>
      </c>
      <c r="B23" s="25" t="s">
        <v>118</v>
      </c>
      <c r="C23" s="25" t="s">
        <v>119</v>
      </c>
      <c r="D23" s="25"/>
      <c r="E23" s="25"/>
      <c r="F23" s="25"/>
      <c r="G23" s="25"/>
      <c r="H23" s="27"/>
    </row>
    <row r="24" spans="1:8">
      <c r="A24" s="24" t="s">
        <v>109</v>
      </c>
      <c r="B24" s="25" t="s">
        <v>118</v>
      </c>
      <c r="C24" s="25" t="s">
        <v>119</v>
      </c>
      <c r="D24" s="25" t="s">
        <v>120</v>
      </c>
      <c r="E24" s="25"/>
      <c r="F24" s="25"/>
      <c r="G24" s="25"/>
      <c r="H24" s="27"/>
    </row>
    <row r="25" spans="1:8">
      <c r="A25" s="24"/>
      <c r="B25" s="25"/>
      <c r="C25" s="25"/>
      <c r="D25" s="25"/>
      <c r="E25" s="25"/>
      <c r="F25" s="25"/>
      <c r="G25" s="25"/>
      <c r="H25" s="27"/>
    </row>
    <row r="26" spans="1:8" ht="85.5">
      <c r="A26" s="28" t="s">
        <v>121</v>
      </c>
      <c r="B26" s="29" t="s">
        <v>126</v>
      </c>
      <c r="C26" s="29"/>
      <c r="D26" s="29"/>
      <c r="E26" s="29"/>
      <c r="F26" s="29"/>
      <c r="G26" s="29"/>
      <c r="H26" s="30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14" sqref="C14"/>
    </sheetView>
  </sheetViews>
  <sheetFormatPr defaultRowHeight="14.25"/>
  <cols>
    <col min="1" max="4" width="30" customWidth="1"/>
  </cols>
  <sheetData>
    <row r="1" spans="1:4" ht="15">
      <c r="A1" s="23" t="s">
        <v>58</v>
      </c>
      <c r="B1" s="23" t="s">
        <v>122</v>
      </c>
      <c r="C1" s="23" t="s">
        <v>123</v>
      </c>
      <c r="D1" s="23" t="s">
        <v>124</v>
      </c>
    </row>
    <row r="2" spans="1:4">
      <c r="A2" t="s">
        <v>127</v>
      </c>
      <c r="B2" t="s">
        <v>103</v>
      </c>
    </row>
    <row r="3" spans="1:4">
      <c r="A3" t="s">
        <v>129</v>
      </c>
      <c r="B3" t="s">
        <v>118</v>
      </c>
      <c r="C3" t="s">
        <v>119</v>
      </c>
    </row>
    <row r="4" spans="1:4">
      <c r="A4" t="s">
        <v>130</v>
      </c>
      <c r="B4" t="s">
        <v>118</v>
      </c>
      <c r="C4" t="s">
        <v>119</v>
      </c>
      <c r="D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Housing Form</vt:lpstr>
      <vt:lpstr>شرح الحسبة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Nader Al Johani</cp:lastModifiedBy>
  <dcterms:modified xsi:type="dcterms:W3CDTF">2026-07-14T11:42:45Z</dcterms:modified>
</cp:coreProperties>
</file>