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3e6fd7add4c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using Form" sheetId="1" r:id="Rddbbcaec4129420d"/>
    <x:sheet xmlns:r="http://schemas.openxmlformats.org/officeDocument/2006/relationships" name="Calculation" sheetId="2" r:id="Rffbd55a212dc42c7"/>
  </x:sheets>
</x:workbook>
</file>

<file path=xl/sharedStrings.xml><?xml version="1.0" encoding="utf-8"?>
<x:sst xmlns:x="http://schemas.openxmlformats.org/spreadsheetml/2006/main">
  <x:si>
    <x:t xml:space="preserve">نموذج طلب بدل سكن مقدما</x:t>
  </x:si>
  <x:si>
    <x:t xml:space="preserve">Advance Housing Allowance Request Form</x:t>
  </x:si>
  <x:si>
    <x:t xml:space="preserve">Employee ID :</x:t>
  </x:si>
  <x:si>
    <x:t xml:space="preserve">رقم الموظف :</x:t>
  </x:si>
  <x:si>
    <x:t xml:space="preserve">Employee Name :</x:t>
  </x:si>
  <x:si>
    <x:t xml:space="preserve">اسم الموظف :</x:t>
  </x:si>
  <x:si>
    <x:t xml:space="preserve">Title / Department :</x:t>
  </x:si>
  <x:si>
    <x:t xml:space="preserve">الوظيفة / القسم :</x:t>
  </x:si>
  <x:si>
    <x:t xml:space="preserve">Joining Date :</x:t>
  </x:si>
  <x:si>
    <x:t xml:space="preserve">تاريخ التعيين :</x:t>
  </x:si>
  <x:si>
    <x:t xml:space="preserve">Request Date :</x:t>
  </x:si>
  <x:si>
    <x:t xml:space="preserve">تاريخ الطلب :</x:t>
  </x:si>
  <x:si>
    <x:t xml:space="preserve">تفاصيل الطلب / Request Details</x:t>
  </x:si>
  <x:si>
    <x:t xml:space="preserve">اختيار الاستحقاق حسب مدة الخدمة / Select Entitlement Based on Service Period</x:t>
  </x:si>
  <x:si>
    <x:t xml:space="preserve">Entitlement</x:t>
  </x:si>
  <x:si>
    <x:t xml:space="preserve">الاستحقاق</x:t>
  </x:si>
  <x:si>
    <x:t xml:space="preserve">No. of Months</x:t>
  </x:si>
  <x:si>
    <x:t xml:space="preserve">عدد الأشهر</x:t>
  </x:si>
  <x:si>
    <x:t xml:space="preserve">Monthly Housing Allowance - SR.</x:t>
  </x:si>
  <x:si>
    <x:t xml:space="preserve">بدل السكن الشهري - ريال</x:t>
  </x:si>
  <x:si>
    <x:t xml:space="preserve">Total Amount - SR.</x:t>
  </x:si>
  <x:si>
    <x:t xml:space="preserve">إجمالي المبلغ - ريال</x:t>
  </x:si>
  <x:si>
    <x:t xml:space="preserve">Repayment Period</x:t>
  </x:si>
  <x:si>
    <x:t xml:space="preserve">يبدأ الخصم اعتبارًا من تاريخ:
Deduction Start Date:             /               / 2026
ينتهي الخصم بتاريخ:
Deduction End Date:              /                 /  2026</x:t>
  </x:si>
  <x:si>
    <x:t xml:space="preserve">من تاريخ:        /        /              إلى تاريخ:        /        /</x:t>
  </x:si>
  <x:si>
    <x:t xml:space="preserve">مدة السداد</x:t>
  </x:si>
  <x:si>
    <x:t xml:space="preserve">I hereby request the Institute to grant me an advance housing allowance based on the selected entitlement above, number of months, monthly housing allowance, and total amount. I agree that the approved amount will be deducted according to the approved repayment schedule.</x:t>
  </x:si>
  <x:si>
    <x:t xml:space="preserve">أطلب من المعهد منحي بدل السكن مقدما بناءً على الاستحقاق المحدد أعلاه وعدد الأشهر وقيمة بدل السكن الشهري وإجمالي المبلغ، وأوافق على خصم المبلغ المعتمد وفق جدول السداد المعتمد.</x:t>
  </x:si>
  <x:si>
    <x:t xml:space="preserve">In case of resignation and/or termination, I authorize the Institute to adjust any unpaid balance from my end of service benefits. If the benefits do not cover the outstanding balance,   I undertake to pay the remaining amount before leaving the Institute.</x:t>
  </x:si>
  <x:si>
    <x:t xml:space="preserve">في حال الاستقالة أو إنهاء علاقة العمل، يحق للمعهد خصم أي رصيد غير مسدد من مستحقات نهاية الخدمة، وفي حال عدم كفايتها ألتزم بسداد الرصيد المتبقي قبل ترك العمل لدى المعهد.</x:t>
  </x:si>
  <x:si>
    <x:t xml:space="preserve">توقيع مدير القسم
Dept. Manager Signature</x:t>
  </x:si>
  <x:si>
    <x:t xml:space="preserve">توقيع الموظف
Employee Signature</x:t>
  </x:si>
  <x:si>
    <x:t xml:space="preserve">فقط لإستعمال إدارة الموارد البشرية / For HR Dept. use only</x:t>
  </x:si>
  <x:si>
    <x:t xml:space="preserve">Joining Date:</x:t>
  </x:si>
  <x:si>
    <x:t xml:space="preserve">تاريخ التعيين:</x:t>
  </x:si>
  <x:si>
    <x:t xml:space="preserve">End of Service Benefits (Resigned):</x:t>
  </x:si>
  <x:si>
    <x:t xml:space="preserve">حقوق نهاية الخدمة (استقالة):</x:t>
  </x:si>
  <x:si>
    <x:t xml:space="preserve">HR Notes:</x:t>
  </x:si>
  <x:si>
    <x:t xml:space="preserve">ملاحظات الموارد البشرية:</x:t>
  </x:si>
  <x:si>
    <x:t xml:space="preserve">Human Resources Department Signature</x:t>
  </x:si>
  <x:si>
    <x:t xml:space="preserve">توقيع الموارد البشرية</x:t>
  </x:si>
  <x:si>
    <x:t xml:space="preserve">فقط لإستعمال إدارة المحاسبة / For Accounting Dept. use only</x:t>
  </x:si>
  <x:si>
    <x:t xml:space="preserve">Date:</x:t>
  </x:si>
  <x:si>
    <x:t xml:space="preserve">التاريخ:</x:t>
  </x:si>
  <x:si>
    <x:t xml:space="preserve">Existing / Standing Loan - SR.</x:t>
  </x:si>
  <x:si>
    <x:t xml:space="preserve">سلف قائمة - ريال:</x:t>
  </x:si>
  <x:si>
    <x:t xml:space="preserve">End of Service Benefits (Resigned) - SR.</x:t>
  </x:si>
  <x:si>
    <x:t xml:space="preserve">حقوق نهاية الخدمة (استقالة) - ريال:</x:t>
  </x:si>
  <x:si>
    <x:t xml:space="preserve">Approved No. of Months</x:t>
  </x:si>
  <x:si>
    <x:t xml:space="preserve">عدد الأشهر المعتمدة:</x:t>
  </x:si>
  <x:si>
    <x:t xml:space="preserve">Approved Monthly Installment - SR.</x:t>
  </x:si>
  <x:si>
    <x:t xml:space="preserve">قيمة القسط الشهري المعتمد - ريال:</x:t>
  </x:si>
  <x:si>
    <x:t xml:space="preserve">Total Amount Approved - SR.</x:t>
  </x:si>
  <x:si>
    <x:t xml:space="preserve">إجمالي المبلغ المعتمد - ريال:</x:t>
  </x:si>
  <x:si>
    <x:t xml:space="preserve">Reviewed by Accountant (Name):</x:t>
  </x:si>
  <x:si>
    <x:t xml:space="preserve">تمت المراجعة بواسطة المحاسب (الاسم):</x:t>
  </x:si>
  <x:si>
    <x:t xml:space="preserve">Signature:</x:t>
  </x:si>
  <x:si>
    <x:t xml:space="preserve">التوقيع:</x:t>
  </x:si>
  <x:si>
    <x:t xml:space="preserve">قرار الاعتماد / Approval Decision</x:t>
  </x:si>
  <x:si>
    <x:t xml:space="preserve">□  موافقة / Approve                                            □  رفض / Reject</x:t>
  </x:si>
  <x:si>
    <x:t xml:space="preserve">توقيع الرئيس التنفيذي
CEO Signature</x:t>
  </x:si>
  <x:si>
    <x:t xml:space="preserve">توقيع مدير المحاسبة
 Accounting Manager Signature</x:t>
  </x:si>
  <x:si>
    <x:t xml:space="preserve">Ref. Title </x:t>
  </x:si>
  <x:si>
    <x:t xml:space="preserve">HR-F-29</x:t>
  </x:si>
  <x:si>
    <x:t xml:space="preserve">Revision</x:t>
  </x:si>
  <x:si>
    <x:t xml:space="preserve">Page Number</x:t>
  </x:si>
  <x:si>
    <x:t xml:space="preserve">Page 1 of 1</x:t>
  </x:si>
  <x:si>
    <x:t xml:space="preserve">This document is intended for internal use only by HIPIT</x:t>
  </x:si>
</x:sst>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21">
    <x:font>
      <x:sz val="11"/>
      <x:name val="Carlito"/>
    </x:font>
    <x:font>
      <x:sz val="10"/>
      <x:name val="Arial"/>
    </x:font>
    <x:font>
      <x:sz val="12"/>
      <x:color theme="1"/>
      <x:name val="Sakkal Majalla"/>
    </x:font>
    <x:font>
      <x:b/>
      <x:sz val="18"/>
      <x:name val="Sakkal Majalla"/>
    </x:font>
    <x:font>
      <x:b/>
      <x:sz val="12"/>
      <x:name val="Sakkal Majalla"/>
    </x:font>
    <x:font>
      <x:sz val="10"/>
      <x:name val="Sakkal Majalla"/>
    </x:font>
    <x:font>
      <x:b/>
      <x:sz val="14"/>
      <x:name val="Sakkal Majalla"/>
    </x:font>
    <x:font>
      <x:b/>
      <x:sz val="16"/>
      <x:name val="Sakkal Majalla"/>
    </x:font>
    <x:font>
      <x:sz val="16"/>
      <x:name val="Arial"/>
    </x:font>
    <x:font>
      <x:sz val="14"/>
      <x:name val="Sakkal Majalla"/>
    </x:font>
    <x:font>
      <x:sz val="16"/>
      <x:name val="Sakkal Majalla"/>
    </x:font>
    <x:font>
      <x:b/>
      <x:sz val="12"/>
      <x:name val="Carlito"/>
    </x:font>
    <x:font>
      <x:b/>
      <x:sz val="12"/>
      <x:color rgb="FF000000"/>
      <x:name val="Sakkal Majalla"/>
    </x:font>
    <x:font>
      <x:b/>
      <x:sz val="12"/>
      <x:color rgb="FF000000"/>
      <x:name val="Carlito"/>
    </x:font>
    <x:font>
      <x:b/>
      <x:sz val="10"/>
      <x:name val="Sakkal Majalla"/>
    </x:font>
    <x:font>
      <x:sz val="10"/>
      <x:name val="Sakkal Majalla"/>
    </x:font>
    <x:font>
      <x:sz val="10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1"/>
      <x:name val="Carlito"/>
    </x:font>
    <x:font>
      <x:sz val="10"/>
      <x:name val="Sakkal Majalla"/>
    </x:font>
  </x:fonts>
  <x:fills count="10">
    <x:fill>
      <x:patternFill patternType="none"/>
    </x:fill>
    <x:fill>
      <x:patternFill patternType="gray125"/>
    </x:fill>
    <x:fill>
      <x:patternFill patternType="solid">
        <x:fgColor theme="2"/>
      </x:patternFill>
    </x:fill>
    <x:fill>
      <x:patternFill patternType="solid">
        <x:fgColor theme="0"/>
      </x:patternFill>
    </x:fill>
    <x:fill>
      <x:patternFill patternType="solid">
        <x:fgColor rgb="FFFFFFFF"/>
      </x:patternFill>
    </x:fill>
    <x:fill>
      <x:patternFill patternType="solid">
        <x:fgColor theme="9" tint="0.7999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81">
    <x:border/>
    <x:border/>
    <x:border>
      <x:left style="medium">
        <x:color indexed="64"/>
      </x:left>
      <x:top style="medium">
        <x:color indexed="64"/>
      </x:top>
      <x:bottom style="thin">
        <x:color indexed="64"/>
      </x:bottom>
    </x:border>
    <x:border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auto="1"/>
      </x:top>
      <x:bottom style="thin">
        <x:color indexed="64"/>
      </x:bottom>
    </x:border>
    <x:border>
      <x:left style="thin">
        <x:color auto="1"/>
      </x:left>
      <x:top style="thin">
        <x:color auto="1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  <x:bottom style="thin">
        <x:color indexed="64"/>
      </x:bottom>
    </x:border>
    <x:border>
      <x:right style="medium">
        <x:color indexed="64"/>
      </x:right>
      <x:bottom style="thin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right style="medium">
        <x:color indexed="64"/>
      </x:right>
      <x:top style="thin">
        <x:color auto="1"/>
      </x:top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right style="medium">
        <x:color indexed="64"/>
      </x:right>
      <x:top style="thin">
        <x:color indexed="64"/>
      </x:top>
    </x:border>
    <x:border>
      <x:left style="medium">
        <x:color indexed="64"/>
      </x:left>
      <x:top style="thin">
        <x:color indexed="64"/>
      </x:top>
    </x:border>
    <x:border>
      <x:left style="hair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hair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medium">
        <x:color indexed="64"/>
      </x:right>
      <x:top style="thin">
        <x:color indexed="64"/>
      </x:top>
    </x:border>
    <x:border>
      <x:left style="medium">
        <x:color indexed="64"/>
      </x:left>
      <x:right style="thin">
        <x:color indexed="64"/>
      </x:right>
    </x:border>
    <x:border>
      <x:left style="thin">
        <x:color indexed="64"/>
      </x:left>
      <x:right style="medium">
        <x:color indexed="64"/>
      </x:right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/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medium">
        <x:color indexed="64"/>
      </x:right>
      <x:top style="thin">
        <x:color indexed="64"/>
      </x:top>
    </x:border>
    <x:border>
      <x:left style="medium">
        <x:color indexed="64"/>
      </x:left>
      <x:right style="thin">
        <x:color indexed="64"/>
      </x:right>
    </x:border>
    <x:border>
      <x:left style="thin">
        <x:color indexed="64"/>
      </x:left>
      <x:right style="medium">
        <x:color indexed="64"/>
      </x:right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auto="1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medium">
        <x:color indexed="64"/>
      </x:left>
      <x:top style="thin">
        <x:color indexed="64"/>
      </x:top>
    </x:border>
    <x:border>
      <x:left style="medium">
        <x:color indexed="64"/>
      </x:left>
    </x:border>
    <x:border>
      <x:right style="thin">
        <x:color indexed="64"/>
      </x:right>
    </x:border>
    <x:border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medium">
        <x:color indexed="64"/>
      </x:right>
    </x:border>
    <x:border>
      <x:left style="thin">
        <x:color indexed="64"/>
      </x:left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thin">
        <x:color indexed="64"/>
      </x:bottom>
    </x:border>
    <x:border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auto="1"/>
      </x:top>
      <x:bottom style="thin">
        <x:color indexed="64"/>
      </x:bottom>
    </x:border>
    <x:border>
      <x:left style="thin">
        <x:color auto="1"/>
      </x:left>
      <x:top style="thin">
        <x:color auto="1"/>
      </x:top>
      <x:bottom style="thin">
        <x:color indexed="64"/>
      </x:bottom>
    </x:border>
    <x:border>
      <x:left style="hair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hair">
        <x:color indexed="64"/>
      </x:right>
      <x:top style="hair">
        <x:color indexed="64"/>
      </x:top>
      <x:bottom style="hair">
        <x:color indexed="64"/>
      </x:bottom>
    </x:border>
  </x:borders>
  <x:cellStyleXfs count="1">
    <x:xf numFmtId="0" fontId="0" fillId="0" borderId="0"/>
  </x:cellStyleXfs>
  <x:cellXfs count="318">
    <x:xf numFmtId="0" fontId="0" fillId="0" borderId="0" xfId="0"/>
    <x:xf numFmtId="0" fontId="2" fillId="0" borderId="5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/>
    </x:xf>
    <x:xf numFmtId="0" fontId="4" fillId="0" borderId="35" xfId="0" applyFont="1" applyBorder="1" applyAlignment="1">
      <x:alignment vertical="center"/>
    </x:xf>
    <x:xf numFmtId="0" fontId="4" fillId="0" borderId="36" xfId="0" applyFont="1" applyBorder="1" applyAlignment="1">
      <x:alignment horizontal="right" vertical="center"/>
    </x:xf>
    <x:xf numFmtId="0" fontId="4" fillId="0" borderId="37" xfId="0" applyFont="1" applyBorder="1" applyAlignment="1">
      <x:alignment vertical="center"/>
    </x:xf>
    <x:xf numFmtId="0" fontId="4" fillId="0" borderId="38" xfId="0" applyFont="1" applyBorder="1" applyAlignment="1">
      <x:alignment horizontal="right" vertical="center"/>
    </x:xf>
    <x:xf numFmtId="0" fontId="4" fillId="0" borderId="39" xfId="0" applyFont="1" applyBorder="1" applyAlignment="1">
      <x:alignment vertical="center"/>
    </x:xf>
    <x:xf numFmtId="0" fontId="4" fillId="0" borderId="40" xfId="0" applyFont="1" applyBorder="1" applyAlignment="1">
      <x:alignment horizontal="right" vertical="center"/>
    </x:xf>
    <x:xf numFmtId="0" fontId="4" fillId="0" borderId="35" xfId="0" applyFont="1" applyBorder="1" applyAlignment="1">
      <x:alignment vertical="center" wrapText="1"/>
    </x:xf>
    <x:xf numFmtId="0" fontId="4" fillId="0" borderId="36" xfId="0" applyFont="1" applyBorder="1" applyAlignment="1">
      <x:alignment horizontal="right" vertical="center" wrapText="1"/>
    </x:xf>
    <x:xf numFmtId="0" fontId="4" fillId="0" borderId="37" xfId="0" applyFont="1" applyBorder="1" applyAlignment="1">
      <x:alignment vertical="center" wrapText="1"/>
    </x:xf>
    <x:xf numFmtId="0" fontId="4" fillId="0" borderId="38" xfId="0" applyFont="1" applyBorder="1" applyAlignment="1">
      <x:alignment horizontal="right" vertical="center" wrapText="1"/>
    </x:xf>
    <x:xf numFmtId="0" fontId="4" fillId="0" borderId="39" xfId="0" applyFont="1" applyBorder="1" applyAlignment="1">
      <x:alignment vertical="center" wrapText="1"/>
    </x:xf>
    <x:xf numFmtId="0" fontId="4" fillId="0" borderId="40" xfId="0" applyFont="1" applyBorder="1" applyAlignment="1">
      <x:alignment horizontal="right" vertical="center" wrapText="1"/>
    </x:xf>
    <x:xf numFmtId="0" fontId="14" fillId="0" borderId="35" xfId="0" applyNumberFormat="1" applyFont="1" applyFill="1" applyBorder="1" applyAlignment="1">
      <x:alignment horizontal="center" vertical="center" wrapText="1"/>
    </x:xf>
    <x:xf numFmtId="0" fontId="14" fillId="0" borderId="37" xfId="0" applyNumberFormat="1" applyFont="1" applyFill="1" applyBorder="1" applyAlignment="1">
      <x:alignment horizontal="center" vertical="center" wrapText="1"/>
    </x:xf>
    <x:xf numFmtId="0" fontId="14" fillId="0" borderId="39" xfId="0" applyNumberFormat="1" applyFont="1" applyFill="1" applyBorder="1" applyAlignment="1">
      <x:alignment horizontal="center" vertical="center" wrapText="1"/>
    </x:xf>
    <x:xf numFmtId="0" fontId="14" fillId="0" borderId="36" xfId="0" applyNumberFormat="1" applyFont="1" applyFill="1" applyBorder="1" applyAlignment="1">
      <x:alignment horizontal="center" vertical="center" wrapText="1"/>
    </x:xf>
    <x:xf numFmtId="0" fontId="14" fillId="0" borderId="38" xfId="0" applyNumberFormat="1" applyFont="1" applyFill="1" applyBorder="1" applyAlignment="1">
      <x:alignment horizontal="center" vertical="center" wrapText="1"/>
    </x:xf>
    <x:xf numFmtId="0" fontId="14" fillId="0" borderId="40" xfId="0" applyNumberFormat="1" applyFont="1" applyFill="1" applyBorder="1" applyAlignment="1">
      <x:alignment horizontal="center" vertical="center" wrapText="1"/>
    </x:xf>
    <x:xf numFmtId="0" fontId="3" fillId="2" borderId="20" xfId="0" applyFont="1" applyFill="1" applyBorder="1" applyAlignment="1">
      <x:alignment horizontal="center" vertical="center"/>
    </x:xf>
    <x:xf numFmtId="0" fontId="1" fillId="2" borderId="21" xfId="0" applyFont="1" applyFill="1" applyBorder="1" applyAlignment="1">
      <x:alignment vertical="center"/>
    </x:xf>
    <x:xf numFmtId="0" fontId="1" fillId="2" borderId="22" xfId="0" applyFont="1" applyFill="1" applyBorder="1" applyAlignment="1">
      <x:alignment vertical="center"/>
    </x:xf>
    <x:xf numFmtId="0" fontId="7" fillId="2" borderId="23" xfId="0" applyFont="1" applyFill="1" applyBorder="1" applyAlignment="1">
      <x:alignment horizontal="center" vertical="center"/>
    </x:xf>
    <x:xf numFmtId="0" fontId="8" fillId="2" borderId="18" xfId="0" applyFont="1" applyFill="1" applyBorder="1" applyAlignment="1">
      <x:alignment vertical="center"/>
    </x:xf>
    <x:xf numFmtId="0" fontId="8" fillId="2" borderId="24" xfId="0" applyFont="1" applyFill="1" applyBorder="1" applyAlignment="1">
      <x:alignment vertical="center"/>
    </x:xf>
    <x:xf numFmtId="0" fontId="7" fillId="2" borderId="6" xfId="0" applyFont="1" applyFill="1" applyBorder="1" applyAlignment="1">
      <x:alignment horizontal="center" vertical="center"/>
    </x:xf>
    <x:xf numFmtId="0" fontId="10" fillId="2" borderId="9" xfId="0" applyFont="1" applyFill="1" applyBorder="1" applyAlignment="1">
      <x:alignment vertical="center"/>
    </x:xf>
    <x:xf numFmtId="0" fontId="10" fillId="2" borderId="27" xfId="0" applyFont="1" applyFill="1" applyBorder="1" applyAlignment="1">
      <x:alignment vertical="center"/>
    </x:xf>
    <x:xf numFmtId="0" fontId="15" fillId="4" borderId="14" xfId="0" applyNumberFormat="1" applyFont="1" applyFill="1" applyBorder="1" applyAlignment="1">
      <x:alignment horizontal="center" vertical="center" wrapText="1"/>
    </x:xf>
    <x:xf numFmtId="0" fontId="15" fillId="4" borderId="15" xfId="0" applyNumberFormat="1" applyFont="1" applyFill="1" applyBorder="1" applyAlignment="1">
      <x:alignment horizontal="center" vertical="center" wrapText="1"/>
    </x:xf>
    <x:xf numFmtId="0" fontId="16" fillId="4" borderId="15" xfId="0" applyNumberFormat="1" applyFont="1" applyFill="1" applyBorder="1" applyAlignment="1">
      <x:alignment horizontal="center" vertical="center" wrapText="1"/>
    </x:xf>
    <x:xf numFmtId="0" fontId="16" fillId="4" borderId="16" xfId="0" applyNumberFormat="1" applyFont="1" applyFill="1" applyBorder="1" applyAlignment="1">
      <x:alignment horizontal="center" vertical="center" wrapText="1"/>
    </x:xf>
    <x:xf numFmtId="1" fontId="15" fillId="4" borderId="14" xfId="0" applyNumberFormat="1" applyFont="1" applyFill="1" applyBorder="1" applyAlignment="1">
      <x:alignment horizontal="center" vertical="center" wrapText="1"/>
    </x:xf>
    <x:xf numFmtId="0" fontId="6" fillId="2" borderId="6" xfId="0" applyFont="1" applyFill="1" applyBorder="1" applyAlignment="1">
      <x:alignment horizontal="center" vertical="center"/>
    </x:xf>
    <x:xf numFmtId="0" fontId="9" fillId="2" borderId="9" xfId="0" applyFont="1" applyFill="1" applyBorder="1" applyAlignment="1">
      <x:alignment vertical="center"/>
    </x:xf>
    <x:xf numFmtId="0" fontId="9" fillId="2" borderId="27" xfId="0" applyFont="1" applyFill="1" applyBorder="1" applyAlignment="1">
      <x:alignment vertical="center"/>
    </x:xf>
    <x:xf numFmtId="0" fontId="4" fillId="0" borderId="31" xfId="0" applyFont="1" applyBorder="1" applyAlignment="1">
      <x:alignment horizontal="center" vertical="center" wrapText="1"/>
    </x:xf>
    <x:xf numFmtId="0" fontId="4" fillId="0" borderId="15" xfId="0" applyFont="1" applyBorder="1" applyAlignment="1">
      <x:alignment horizontal="center" vertical="center" wrapText="1"/>
    </x:xf>
    <x:xf numFmtId="0" fontId="4" fillId="0" borderId="16" xfId="0" applyFont="1" applyBorder="1" applyAlignment="1">
      <x:alignment horizontal="center" vertical="center" wrapText="1"/>
    </x:xf>
    <x:xf numFmtId="0" fontId="4" fillId="0" borderId="25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4" fillId="0" borderId="29" xfId="0" applyFont="1" applyBorder="1" applyAlignment="1">
      <x:alignment horizontal="center" vertical="center" wrapText="1"/>
    </x:xf>
    <x:xf numFmtId="0" fontId="4" fillId="0" borderId="23" xfId="0" applyFont="1" applyBorder="1" applyAlignment="1">
      <x:alignment horizontal="center" vertical="center" wrapText="1"/>
    </x:xf>
    <x:xf numFmtId="0" fontId="4" fillId="0" borderId="18" xfId="0" applyFont="1" applyBorder="1" applyAlignment="1">
      <x:alignment horizontal="center" vertical="center" wrapText="1"/>
    </x:xf>
    <x:xf numFmtId="0" fontId="4" fillId="0" borderId="19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4" fillId="0" borderId="30" xfId="0" applyFont="1" applyBorder="1" applyAlignment="1">
      <x:alignment horizontal="center" vertical="center" wrapText="1"/>
    </x:xf>
    <x:xf numFmtId="0" fontId="4" fillId="0" borderId="28" xfId="0" applyFont="1" applyBorder="1" applyAlignment="1">
      <x:alignment horizontal="center" vertical="center" wrapText="1"/>
    </x:xf>
    <x:xf numFmtId="0" fontId="4" fillId="0" borderId="26" xfId="0" applyFont="1" applyBorder="1" applyAlignment="1">
      <x:alignment horizontal="center" vertical="center" wrapText="1"/>
    </x:xf>
    <x:xf numFmtId="0" fontId="4" fillId="0" borderId="17" xfId="0" applyFont="1" applyBorder="1" applyAlignment="1">
      <x:alignment horizontal="center" vertical="center" wrapText="1"/>
    </x:xf>
    <x:xf numFmtId="0" fontId="4" fillId="0" borderId="24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8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2" fillId="0" borderId="8" xfId="0" applyFont="1" applyBorder="1" applyAlignment="1">
      <x:alignment horizontal="center"/>
    </x:xf>
    <x:xf numFmtId="0" fontId="2" fillId="0" borderId="9" xfId="0" applyFont="1" applyBorder="1" applyAlignment="1">
      <x:alignment horizontal="center"/>
    </x:xf>
    <x:xf numFmtId="0" fontId="2" fillId="0" borderId="7" xfId="0" applyFont="1" applyBorder="1" applyAlignment="1">
      <x:alignment horizontal="center"/>
    </x:xf>
    <x:xf numFmtId="0" fontId="5" fillId="0" borderId="32" xfId="0" applyFont="1" applyBorder="1" applyAlignment="1">
      <x:alignment horizontal="center" vertical="center"/>
    </x:xf>
    <x:xf numFmtId="0" fontId="5" fillId="0" borderId="33" xfId="0" applyFont="1" applyBorder="1" applyAlignment="1">
      <x:alignment horizontal="center" vertical="center"/>
    </x:xf>
    <x:xf numFmtId="0" fontId="0" fillId="0" borderId="34" xfId="0" applyBorder="1" applyAlignment="1">
      <x:alignment vertical="center"/>
    </x:xf>
    <x:xf numFmtId="0" fontId="4" fillId="0" borderId="31" xfId="0" applyFont="1" applyBorder="1" applyAlignment="1">
      <x:alignment horizontal="left" vertical="center" wrapText="1"/>
    </x:xf>
    <x:xf numFmtId="0" fontId="4" fillId="0" borderId="15" xfId="0" applyFont="1" applyBorder="1" applyAlignment="1">
      <x:alignment horizontal="left" vertical="center" wrapText="1"/>
    </x:xf>
    <x:xf numFmtId="0" fontId="4" fillId="0" borderId="16" xfId="0" applyFont="1" applyBorder="1" applyAlignment="1">
      <x:alignment horizontal="left" vertical="center" wrapText="1"/>
    </x:xf>
    <x:xf numFmtId="0" fontId="4" fillId="0" borderId="25" xfId="0" applyFont="1" applyBorder="1" applyAlignment="1">
      <x:alignment horizontal="left" vertical="center" wrapText="1"/>
    </x:xf>
    <x:xf numFmtId="0" fontId="4" fillId="0" borderId="1" xfId="0" applyFont="1" applyBorder="1" applyAlignment="1">
      <x:alignment horizontal="left" vertical="center" wrapText="1"/>
    </x:xf>
    <x:xf numFmtId="0" fontId="4" fillId="0" borderId="29" xfId="0" applyFont="1" applyBorder="1" applyAlignment="1">
      <x:alignment horizontal="left" vertical="center" wrapText="1"/>
    </x:xf>
    <x:xf numFmtId="0" fontId="4" fillId="0" borderId="23" xfId="0" applyFont="1" applyBorder="1" applyAlignment="1">
      <x:alignment horizontal="left" vertical="center" wrapText="1"/>
    </x:xf>
    <x:xf numFmtId="0" fontId="4" fillId="0" borderId="18" xfId="0" applyFont="1" applyBorder="1" applyAlignment="1">
      <x:alignment horizontal="left" vertical="center" wrapText="1"/>
    </x:xf>
    <x:xf numFmtId="0" fontId="4" fillId="0" borderId="19" xfId="0" applyFont="1" applyBorder="1" applyAlignment="1">
      <x:alignment horizontal="left" vertical="center" wrapText="1"/>
    </x:xf>
    <x:xf numFmtId="0" fontId="4" fillId="2" borderId="6" xfId="0" applyFont="1" applyFill="1" applyBorder="1" applyAlignment="1">
      <x:alignment horizontal="center" vertical="center"/>
    </x:xf>
    <x:xf numFmtId="0" fontId="5" fillId="2" borderId="9" xfId="0" applyFont="1" applyFill="1" applyBorder="1" applyAlignment="1">
      <x:alignment vertical="center"/>
    </x:xf>
    <x:xf numFmtId="0" fontId="5" fillId="2" borderId="27" xfId="0" applyFont="1" applyFill="1" applyBorder="1" applyAlignment="1">
      <x:alignment vertical="center"/>
    </x:xf>
    <x:xf numFmtId="0" fontId="4" fillId="0" borderId="14" xfId="0" applyFont="1" applyBorder="1" applyAlignment="1">
      <x:alignment horizontal="right" vertical="center" wrapText="1"/>
    </x:xf>
    <x:xf numFmtId="0" fontId="4" fillId="0" borderId="15" xfId="0" applyFont="1" applyBorder="1" applyAlignment="1">
      <x:alignment horizontal="right" vertical="center" wrapText="1"/>
    </x:xf>
    <x:xf numFmtId="0" fontId="4" fillId="0" borderId="30" xfId="0" applyFont="1" applyBorder="1" applyAlignment="1">
      <x:alignment horizontal="right" vertical="center" wrapText="1"/>
    </x:xf>
    <x:xf numFmtId="0" fontId="4" fillId="0" borderId="28" xfId="0" applyFont="1" applyBorder="1" applyAlignment="1">
      <x:alignment horizontal="right" vertical="center" wrapText="1"/>
    </x:xf>
    <x:xf numFmtId="0" fontId="4" fillId="0" borderId="1" xfId="0" applyFont="1" applyBorder="1" applyAlignment="1">
      <x:alignment horizontal="right" vertical="center" wrapText="1"/>
    </x:xf>
    <x:xf numFmtId="0" fontId="4" fillId="0" borderId="26" xfId="0" applyFont="1" applyBorder="1" applyAlignment="1">
      <x:alignment horizontal="right" vertical="center" wrapText="1"/>
    </x:xf>
    <x:xf numFmtId="0" fontId="4" fillId="0" borderId="17" xfId="0" applyFont="1" applyBorder="1" applyAlignment="1">
      <x:alignment horizontal="right" vertical="center" wrapText="1"/>
    </x:xf>
    <x:xf numFmtId="0" fontId="4" fillId="0" borderId="18" xfId="0" applyFont="1" applyBorder="1" applyAlignment="1">
      <x:alignment horizontal="right" vertical="center" wrapText="1"/>
    </x:xf>
    <x:xf numFmtId="0" fontId="4" fillId="0" borderId="24" xfId="0" applyFont="1" applyBorder="1" applyAlignment="1">
      <x:alignment horizontal="right" vertical="center" wrapText="1"/>
    </x:xf>
    <x:xf numFmtId="0" fontId="11" fillId="0" borderId="15" xfId="0" applyFont="1" applyBorder="1" applyAlignment="1">
      <x:alignment horizontal="right" vertical="center" wrapText="1"/>
    </x:xf>
    <x:xf numFmtId="0" fontId="11" fillId="0" borderId="30" xfId="0" applyFont="1" applyBorder="1" applyAlignment="1">
      <x:alignment horizontal="right" vertical="center" wrapText="1"/>
    </x:xf>
    <x:xf numFmtId="0" fontId="11" fillId="0" borderId="28" xfId="0" applyFont="1" applyBorder="1" applyAlignment="1">
      <x:alignment horizontal="right" vertical="center" wrapText="1"/>
    </x:xf>
    <x:xf numFmtId="0" fontId="11" fillId="0" borderId="1" xfId="0" applyFont="1" applyBorder="1" applyAlignment="1">
      <x:alignment horizontal="right" vertical="center" wrapText="1"/>
    </x:xf>
    <x:xf numFmtId="0" fontId="11" fillId="0" borderId="26" xfId="0" applyFont="1" applyBorder="1" applyAlignment="1">
      <x:alignment horizontal="right" vertical="center" wrapText="1"/>
    </x:xf>
    <x:xf numFmtId="0" fontId="11" fillId="0" borderId="17" xfId="0" applyFont="1" applyBorder="1" applyAlignment="1">
      <x:alignment horizontal="right" vertical="center" wrapText="1"/>
    </x:xf>
    <x:xf numFmtId="0" fontId="11" fillId="0" borderId="18" xfId="0" applyFont="1" applyBorder="1" applyAlignment="1">
      <x:alignment horizontal="right" vertical="center" wrapText="1"/>
    </x:xf>
    <x:xf numFmtId="0" fontId="11" fillId="0" borderId="24" xfId="0" applyFont="1" applyBorder="1" applyAlignment="1">
      <x:alignment horizontal="right" vertical="center" wrapText="1"/>
    </x:xf>
    <x:xf numFmtId="0" fontId="4" fillId="0" borderId="31" xfId="0" applyFont="1" applyBorder="1" applyAlignment="1">
      <x:alignment horizontal="right" vertical="center" wrapText="1"/>
    </x:xf>
    <x:xf numFmtId="0" fontId="0" fillId="0" borderId="15" xfId="0" applyBorder="1" applyAlignment="1">
      <x:alignment vertical="center" wrapText="1"/>
    </x:xf>
    <x:xf numFmtId="0" fontId="0" fillId="0" borderId="16" xfId="0" applyBorder="1" applyAlignment="1">
      <x:alignment vertical="center" wrapText="1"/>
    </x:xf>
    <x:xf numFmtId="0" fontId="4" fillId="0" borderId="25" xfId="0" applyFont="1" applyBorder="1" applyAlignment="1">
      <x:alignment horizontal="right" vertical="center" wrapText="1"/>
    </x:xf>
    <x:xf numFmtId="0" fontId="0" fillId="0" borderId="1" xfId="0" applyBorder="1" applyAlignment="1">
      <x:alignment vertical="center" wrapText="1"/>
    </x:xf>
    <x:xf numFmtId="0" fontId="0" fillId="0" borderId="29" xfId="0" applyBorder="1" applyAlignment="1">
      <x:alignment vertical="center" wrapText="1"/>
    </x:xf>
    <x:xf numFmtId="0" fontId="4" fillId="0" borderId="23" xfId="0" applyFont="1" applyBorder="1" applyAlignment="1">
      <x:alignment horizontal="right" vertical="center" wrapText="1"/>
    </x:xf>
    <x:xf numFmtId="0" fontId="0" fillId="0" borderId="18" xfId="0" applyBorder="1" applyAlignment="1">
      <x:alignment vertical="center" wrapText="1"/>
    </x:xf>
    <x:xf numFmtId="0" fontId="0" fillId="0" borderId="19" xfId="0" applyBorder="1" applyAlignment="1">
      <x:alignment vertical="center" wrapText="1"/>
    </x:xf>
    <x:xf numFmtId="0" fontId="5" fillId="0" borderId="14" xfId="0" applyFont="1" applyBorder="1" applyAlignment="1">
      <x:alignment horizontal="center" vertical="center"/>
    </x:xf>
    <x:xf numFmtId="0" fontId="5" fillId="0" borderId="15" xfId="0" applyFont="1" applyBorder="1" applyAlignment="1">
      <x:alignment horizontal="center" vertical="center"/>
    </x:xf>
    <x:xf numFmtId="0" fontId="0" fillId="0" borderId="15" xfId="0" applyBorder="1" applyAlignment="1">
      <x:alignment vertical="center"/>
    </x:xf>
    <x:xf numFmtId="0" fontId="0" fillId="0" borderId="16" xfId="0" applyBorder="1" applyAlignment="1">
      <x:alignment vertical="center"/>
    </x:xf>
    <x:xf numFmtId="0" fontId="12" fillId="5" borderId="31" xfId="0" applyNumberFormat="1" applyFont="1" applyFill="1" applyBorder="1" applyAlignment="1">
      <x:alignment horizontal="center" vertical="center" wrapText="1"/>
    </x:xf>
    <x:xf numFmtId="0" fontId="13" fillId="5" borderId="15" xfId="0" applyNumberFormat="1" applyFont="1" applyFill="1" applyBorder="1" applyAlignment="1">
      <x:alignment horizontal="center" vertical="center" wrapText="1"/>
    </x:xf>
    <x:xf numFmtId="0" fontId="13" fillId="5" borderId="30" xfId="0" applyNumberFormat="1" applyFont="1" applyFill="1" applyBorder="1" applyAlignment="1">
      <x:alignment horizontal="center" vertical="center" wrapText="1"/>
    </x:xf>
    <x:xf numFmtId="4" fontId="15" fillId="4" borderId="14" xfId="0" applyNumberFormat="1" applyFont="1" applyFill="1" applyBorder="1" applyAlignment="1">
      <x:alignment horizontal="center" vertical="center" wrapText="1"/>
    </x:xf>
    <x:xf numFmtId="0" fontId="4" fillId="3" borderId="31" xfId="0" applyNumberFormat="1" applyFont="1" applyFill="1" applyBorder="1" applyAlignment="1">
      <x:alignment horizontal="left" vertical="center" wrapText="1"/>
    </x:xf>
    <x:xf numFmtId="0" fontId="4" fillId="3" borderId="15" xfId="0" applyNumberFormat="1" applyFont="1" applyFill="1" applyBorder="1" applyAlignment="1">
      <x:alignment horizontal="left" vertical="center" wrapText="1"/>
    </x:xf>
    <x:xf numFmtId="0" fontId="4" fillId="3" borderId="16" xfId="0" applyNumberFormat="1" applyFont="1" applyFill="1" applyBorder="1" applyAlignment="1">
      <x:alignment horizontal="left" vertical="center" wrapText="1"/>
    </x:xf>
    <x:xf numFmtId="0" fontId="4" fillId="3" borderId="25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4" fillId="3" borderId="29" xfId="0" applyNumberFormat="1" applyFont="1" applyFill="1" applyBorder="1" applyAlignment="1">
      <x:alignment horizontal="left" vertical="center" wrapText="1"/>
    </x:xf>
    <x:xf numFmtId="0" fontId="4" fillId="3" borderId="23" xfId="0" applyNumberFormat="1" applyFont="1" applyFill="1" applyBorder="1" applyAlignment="1">
      <x:alignment horizontal="left" vertical="center" wrapText="1"/>
    </x:xf>
    <x:xf numFmtId="0" fontId="4" fillId="3" borderId="18" xfId="0" applyNumberFormat="1" applyFont="1" applyFill="1" applyBorder="1" applyAlignment="1">
      <x:alignment horizontal="left" vertical="center" wrapText="1"/>
    </x:xf>
    <x:xf numFmtId="0" fontId="4" fillId="3" borderId="19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right" vertical="center" wrapText="1"/>
    </x:xf>
    <x:xf numFmtId="0" fontId="4" fillId="0" borderId="15" xfId="0" applyNumberFormat="1" applyFont="1" applyFill="1" applyBorder="1" applyAlignment="1">
      <x:alignment horizontal="right" vertical="center" wrapText="1"/>
    </x:xf>
    <x:xf numFmtId="0" fontId="4" fillId="0" borderId="30" xfId="0" applyNumberFormat="1" applyFont="1" applyFill="1" applyBorder="1" applyAlignment="1">
      <x:alignment horizontal="right" vertical="center" wrapText="1"/>
    </x:xf>
    <x:xf numFmtId="0" fontId="4" fillId="0" borderId="28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 applyAlignment="1">
      <x:alignment horizontal="right" vertical="center" wrapText="1"/>
    </x:xf>
    <x:xf numFmtId="0" fontId="4" fillId="0" borderId="26" xfId="0" applyNumberFormat="1" applyFont="1" applyFill="1" applyBorder="1" applyAlignment="1">
      <x:alignment horizontal="right" vertical="center" wrapText="1"/>
    </x:xf>
    <x:xf numFmtId="0" fontId="4" fillId="0" borderId="17" xfId="0" applyNumberFormat="1" applyFont="1" applyFill="1" applyBorder="1" applyAlignment="1">
      <x:alignment horizontal="right" vertical="center" wrapText="1"/>
    </x:xf>
    <x:xf numFmtId="0" fontId="4" fillId="0" borderId="18" xfId="0" applyNumberFormat="1" applyFont="1" applyFill="1" applyBorder="1" applyAlignment="1">
      <x:alignment horizontal="right" vertical="center" wrapText="1"/>
    </x:xf>
    <x:xf numFmtId="0" fontId="4" fillId="0" borderId="24" xfId="0" applyNumberFormat="1" applyFont="1" applyFill="1" applyBorder="1" applyAlignment="1">
      <x:alignment horizontal="right" vertical="center" wrapText="1"/>
    </x:xf>
    <x:xf numFmtId="0" fontId="14" fillId="4" borderId="14" xfId="0" applyNumberFormat="1" applyFont="1" applyFill="1" applyBorder="1" applyAlignment="1">
      <x:alignment horizontal="center" vertical="center" wrapText="1"/>
    </x:xf>
    <x:xf numFmtId="0" fontId="14" fillId="4" borderId="15" xfId="0" applyNumberFormat="1" applyFont="1" applyFill="1" applyBorder="1" applyAlignment="1">
      <x:alignment horizontal="center" vertical="center"/>
    </x:xf>
    <x:xf numFmtId="0" fontId="14" fillId="4" borderId="16" xfId="0" applyNumberFormat="1" applyFont="1" applyFill="1" applyBorder="1" applyAlignment="1">
      <x:alignment horizontal="center" vertical="center"/>
    </x:xf>
    <x:xf numFmtId="0" fontId="0" fillId="0" borderId="41" xfId="0" applyNumberFormat="1" applyFont="1" applyFill="1" applyBorder="1"/>
    <x:xf numFmtId="0" fontId="2" fillId="0" borderId="42" xfId="0" applyNumberFormat="1" applyFont="1" applyFill="1" applyBorder="1" applyAlignment="1">
      <x:alignment horizontal="center" vertical="center"/>
    </x:xf>
    <x:xf numFmtId="0" fontId="2" fillId="0" borderId="43" xfId="0" applyNumberFormat="1" applyFont="1" applyFill="1" applyBorder="1" applyAlignment="1">
      <x:alignment horizontal="center"/>
    </x:xf>
    <x:xf numFmtId="0" fontId="4" fillId="0" borderId="44" xfId="0" applyNumberFormat="1" applyFont="1" applyFill="1" applyBorder="1" applyAlignment="1">
      <x:alignment vertical="center"/>
    </x:xf>
    <x:xf numFmtId="0" fontId="4" fillId="0" borderId="45" xfId="0" applyNumberFormat="1" applyFont="1" applyFill="1" applyBorder="1" applyAlignment="1">
      <x:alignment horizontal="right" vertical="center"/>
    </x:xf>
    <x:xf numFmtId="0" fontId="4" fillId="0" borderId="46" xfId="0" applyNumberFormat="1" applyFont="1" applyFill="1" applyBorder="1" applyAlignment="1">
      <x:alignment vertical="center"/>
    </x:xf>
    <x:xf numFmtId="0" fontId="4" fillId="0" borderId="47" xfId="0" applyNumberFormat="1" applyFont="1" applyFill="1" applyBorder="1" applyAlignment="1">
      <x:alignment horizontal="right" vertical="center"/>
    </x:xf>
    <x:xf numFmtId="0" fontId="4" fillId="0" borderId="48" xfId="0" applyNumberFormat="1" applyFont="1" applyFill="1" applyBorder="1" applyAlignment="1">
      <x:alignment vertical="center"/>
    </x:xf>
    <x:xf numFmtId="0" fontId="4" fillId="0" borderId="49" xfId="0" applyNumberFormat="1" applyFont="1" applyFill="1" applyBorder="1" applyAlignment="1">
      <x:alignment horizontal="right" vertical="center"/>
    </x:xf>
    <x:xf numFmtId="0" fontId="4" fillId="0" borderId="44" xfId="0" applyNumberFormat="1" applyFont="1" applyFill="1" applyBorder="1" applyAlignment="1">
      <x:alignment vertical="center" wrapText="1"/>
    </x:xf>
    <x:xf numFmtId="0" fontId="4" fillId="0" borderId="45" xfId="0" applyNumberFormat="1" applyFont="1" applyFill="1" applyBorder="1" applyAlignment="1">
      <x:alignment horizontal="right" vertical="center" wrapText="1"/>
    </x:xf>
    <x:xf numFmtId="0" fontId="4" fillId="0" borderId="46" xfId="0" applyNumberFormat="1" applyFont="1" applyFill="1" applyBorder="1" applyAlignment="1">
      <x:alignment vertical="center" wrapText="1"/>
    </x:xf>
    <x:xf numFmtId="0" fontId="4" fillId="0" borderId="47" xfId="0" applyNumberFormat="1" applyFont="1" applyFill="1" applyBorder="1" applyAlignment="1">
      <x:alignment horizontal="right" vertical="center" wrapText="1"/>
    </x:xf>
    <x:xf numFmtId="0" fontId="4" fillId="0" borderId="48" xfId="0" applyNumberFormat="1" applyFont="1" applyFill="1" applyBorder="1" applyAlignment="1">
      <x:alignment vertical="center" wrapText="1"/>
    </x:xf>
    <x:xf numFmtId="0" fontId="4" fillId="0" borderId="49" xfId="0" applyNumberFormat="1" applyFont="1" applyFill="1" applyBorder="1" applyAlignment="1">
      <x:alignment horizontal="right" vertical="center" wrapText="1"/>
    </x:xf>
    <x:xf numFmtId="0" fontId="14" fillId="0" borderId="44" xfId="0" applyNumberFormat="1" applyFont="1" applyFill="1" applyBorder="1" applyAlignment="1">
      <x:alignment horizontal="center" vertical="center" wrapText="1"/>
    </x:xf>
    <x:xf numFmtId="0" fontId="14" fillId="0" borderId="46" xfId="0" applyNumberFormat="1" applyFont="1" applyFill="1" applyBorder="1" applyAlignment="1">
      <x:alignment horizontal="center" vertical="center" wrapText="1"/>
    </x:xf>
    <x:xf numFmtId="0" fontId="14" fillId="0" borderId="48" xfId="0" applyNumberFormat="1" applyFont="1" applyFill="1" applyBorder="1" applyAlignment="1">
      <x:alignment horizontal="center" vertical="center" wrapText="1"/>
    </x:xf>
    <x:xf numFmtId="0" fontId="14" fillId="0" borderId="45" xfId="0" applyNumberFormat="1" applyFont="1" applyFill="1" applyBorder="1" applyAlignment="1">
      <x:alignment horizontal="center" vertical="center" wrapText="1"/>
    </x:xf>
    <x:xf numFmtId="0" fontId="14" fillId="0" borderId="47" xfId="0" applyNumberFormat="1" applyFont="1" applyFill="1" applyBorder="1" applyAlignment="1">
      <x:alignment horizontal="center" vertical="center" wrapText="1"/>
    </x:xf>
    <x:xf numFmtId="0" fontId="14" fillId="0" borderId="49" xfId="0" applyNumberFormat="1" applyFont="1" applyFill="1" applyBorder="1" applyAlignment="1">
      <x:alignment horizontal="center" vertical="center" wrapText="1"/>
    </x:xf>
    <x:xf numFmtId="0" fontId="3" fillId="2" borderId="50" xfId="0" applyNumberFormat="1" applyFont="1" applyFill="1" applyBorder="1" applyAlignment="1">
      <x:alignment horizontal="center" vertical="center"/>
    </x:xf>
    <x:xf numFmtId="0" fontId="1" fillId="2" borderId="51" xfId="0" applyNumberFormat="1" applyFont="1" applyFill="1" applyBorder="1" applyAlignment="1">
      <x:alignment vertical="center"/>
    </x:xf>
    <x:xf numFmtId="0" fontId="1" fillId="2" borderId="52" xfId="0" applyNumberFormat="1" applyFont="1" applyFill="1" applyBorder="1" applyAlignment="1">
      <x:alignment vertical="center"/>
    </x:xf>
    <x:xf numFmtId="0" fontId="7" fillId="2" borderId="53" xfId="0" applyNumberFormat="1" applyFont="1" applyFill="1" applyBorder="1" applyAlignment="1">
      <x:alignment horizontal="center" vertical="center"/>
    </x:xf>
    <x:xf numFmtId="0" fontId="8" fillId="2" borderId="54" xfId="0" applyNumberFormat="1" applyFont="1" applyFill="1" applyBorder="1" applyAlignment="1">
      <x:alignment vertical="center"/>
    </x:xf>
    <x:xf numFmtId="0" fontId="8" fillId="2" borderId="55" xfId="0" applyNumberFormat="1" applyFont="1" applyFill="1" applyBorder="1" applyAlignment="1">
      <x:alignment vertical="center"/>
    </x:xf>
    <x:xf numFmtId="0" fontId="7" fillId="2" borderId="56" xfId="0" applyNumberFormat="1" applyFont="1" applyFill="1" applyBorder="1" applyAlignment="1">
      <x:alignment horizontal="center" vertical="center"/>
    </x:xf>
    <x:xf numFmtId="0" fontId="10" fillId="2" borderId="57" xfId="0" applyNumberFormat="1" applyFont="1" applyFill="1" applyBorder="1" applyAlignment="1">
      <x:alignment vertical="center"/>
    </x:xf>
    <x:xf numFmtId="0" fontId="10" fillId="2" borderId="58" xfId="0" applyNumberFormat="1" applyFont="1" applyFill="1" applyBorder="1" applyAlignment="1">
      <x:alignment vertical="center"/>
    </x:xf>
    <x:xf numFmtId="0" fontId="5" fillId="4" borderId="59" xfId="0" applyNumberFormat="1" applyFont="1" applyFill="1" applyBorder="1" applyAlignment="1">
      <x:alignment horizontal="center" vertical="center" wrapText="1"/>
    </x:xf>
    <x:xf numFmtId="0" fontId="5" fillId="4" borderId="60" xfId="0" applyNumberFormat="1" applyFont="1" applyFill="1" applyBorder="1" applyAlignment="1">
      <x:alignment horizontal="center" vertical="center" wrapText="1"/>
    </x:xf>
    <x:xf numFmtId="0" fontId="16" fillId="4" borderId="60" xfId="0" applyNumberFormat="1" applyFont="1" applyFill="1" applyBorder="1" applyAlignment="1">
      <x:alignment horizontal="center" vertical="center" wrapText="1"/>
    </x:xf>
    <x:xf numFmtId="0" fontId="16" fillId="4" borderId="61" xfId="0" applyNumberFormat="1" applyFont="1" applyFill="1" applyBorder="1" applyAlignment="1">
      <x:alignment horizontal="center" vertical="center" wrapText="1"/>
    </x:xf>
    <x:xf numFmtId="1" fontId="5" fillId="4" borderId="59" xfId="0" applyNumberFormat="1" applyFont="1" applyFill="1" applyBorder="1" applyAlignment="1">
      <x:alignment horizontal="center" vertical="center" wrapText="1"/>
    </x:xf>
    <x:xf numFmtId="0" fontId="6" fillId="2" borderId="56" xfId="0" applyNumberFormat="1" applyFont="1" applyFill="1" applyBorder="1" applyAlignment="1">
      <x:alignment horizontal="center" vertical="center"/>
    </x:xf>
    <x:xf numFmtId="0" fontId="9" fillId="2" borderId="57" xfId="0" applyNumberFormat="1" applyFont="1" applyFill="1" applyBorder="1" applyAlignment="1">
      <x:alignment vertical="center"/>
    </x:xf>
    <x:xf numFmtId="0" fontId="9" fillId="2" borderId="58" xfId="0" applyNumberFormat="1" applyFont="1" applyFill="1" applyBorder="1" applyAlignment="1">
      <x:alignment vertical="center"/>
    </x:xf>
    <x:xf numFmtId="0" fontId="4" fillId="0" borderId="62" xfId="0" applyNumberFormat="1" applyFont="1" applyFill="1" applyBorder="1" applyAlignment="1">
      <x:alignment horizontal="center" vertical="center" wrapText="1"/>
    </x:xf>
    <x:xf numFmtId="0" fontId="4" fillId="0" borderId="60" xfId="0" applyNumberFormat="1" applyFont="1" applyFill="1" applyBorder="1" applyAlignment="1">
      <x:alignment horizontal="center" vertical="center" wrapText="1"/>
    </x:xf>
    <x:xf numFmtId="0" fontId="4" fillId="0" borderId="61" xfId="0" applyNumberFormat="1" applyFont="1" applyFill="1" applyBorder="1" applyAlignment="1">
      <x:alignment horizontal="center" vertical="center" wrapText="1"/>
    </x:xf>
    <x:xf numFmtId="0" fontId="4" fillId="0" borderId="63" xfId="0" applyNumberFormat="1" applyFont="1" applyFill="1" applyBorder="1" applyAlignment="1">
      <x:alignment horizontal="center" vertical="center" wrapText="1"/>
    </x:xf>
    <x:xf numFmtId="0" fontId="4" fillId="0" borderId="41" xfId="0" applyNumberFormat="1" applyFont="1" applyFill="1" applyBorder="1" applyAlignment="1">
      <x:alignment horizontal="center" vertical="center" wrapText="1"/>
    </x:xf>
    <x:xf numFmtId="0" fontId="4" fillId="0" borderId="64" xfId="0" applyNumberFormat="1" applyFont="1" applyFill="1" applyBorder="1" applyAlignment="1">
      <x:alignment horizontal="center" vertical="center" wrapText="1"/>
    </x:xf>
    <x:xf numFmtId="0" fontId="4" fillId="0" borderId="53" xfId="0" applyNumberFormat="1" applyFont="1" applyFill="1" applyBorder="1" applyAlignment="1">
      <x:alignment horizontal="center" vertical="center" wrapText="1"/>
    </x:xf>
    <x:xf numFmtId="0" fontId="4" fillId="0" borderId="54" xfId="0" applyNumberFormat="1" applyFont="1" applyFill="1" applyBorder="1" applyAlignment="1">
      <x:alignment horizontal="center" vertical="center" wrapText="1"/>
    </x:xf>
    <x:xf numFmtId="0" fontId="4" fillId="0" borderId="65" xfId="0" applyNumberFormat="1" applyFont="1" applyFill="1" applyBorder="1" applyAlignment="1">
      <x:alignment horizontal="center" vertical="center" wrapText="1"/>
    </x:xf>
    <x:xf numFmtId="0" fontId="4" fillId="0" borderId="59" xfId="0" applyNumberFormat="1" applyFont="1" applyFill="1" applyBorder="1" applyAlignment="1">
      <x:alignment horizontal="center" vertical="center" wrapText="1"/>
    </x:xf>
    <x:xf numFmtId="0" fontId="4" fillId="0" borderId="66" xfId="0" applyNumberFormat="1" applyFont="1" applyFill="1" applyBorder="1" applyAlignment="1">
      <x:alignment horizontal="center" vertical="center" wrapText="1"/>
    </x:xf>
    <x:xf numFmtId="0" fontId="4" fillId="0" borderId="67" xfId="0" applyNumberFormat="1" applyFont="1" applyFill="1" applyBorder="1" applyAlignment="1">
      <x:alignment horizontal="center" vertical="center" wrapText="1"/>
    </x:xf>
    <x:xf numFmtId="0" fontId="4" fillId="0" borderId="68" xfId="0" applyNumberFormat="1" applyFont="1" applyFill="1" applyBorder="1" applyAlignment="1">
      <x:alignment horizontal="center" vertical="center" wrapText="1"/>
    </x:xf>
    <x:xf numFmtId="0" fontId="4" fillId="0" borderId="69" xfId="0" applyNumberFormat="1" applyFont="1" applyFill="1" applyBorder="1" applyAlignment="1">
      <x:alignment horizontal="center" vertical="center" wrapText="1"/>
    </x:xf>
    <x:xf numFmtId="0" fontId="4" fillId="0" borderId="55" xfId="0" applyNumberFormat="1" applyFont="1" applyFill="1" applyBorder="1" applyAlignment="1">
      <x:alignment horizontal="center" vertical="center" wrapText="1"/>
    </x:xf>
    <x:xf numFmtId="0" fontId="5" fillId="0" borderId="41" xfId="0" applyNumberFormat="1" applyFont="1" applyFill="1" applyBorder="1" applyAlignment="1">
      <x:alignment horizontal="center" vertical="center"/>
    </x:xf>
    <x:xf numFmtId="0" fontId="2" fillId="0" borderId="70" xfId="0" applyNumberFormat="1" applyFont="1" applyFill="1" applyBorder="1" applyAlignment="1">
      <x:alignment horizontal="center" vertical="center"/>
    </x:xf>
    <x:xf numFmtId="0" fontId="2" fillId="0" borderId="71" xfId="0" applyNumberFormat="1" applyFont="1" applyFill="1" applyBorder="1" applyAlignment="1">
      <x:alignment horizontal="center" vertical="center"/>
    </x:xf>
    <x:xf numFmtId="0" fontId="2" fillId="0" borderId="72" xfId="0" applyNumberFormat="1" applyFont="1" applyFill="1" applyBorder="1" applyAlignment="1">
      <x:alignment horizontal="center" vertical="center"/>
    </x:xf>
    <x:xf numFmtId="0" fontId="2" fillId="0" borderId="73" xfId="0" applyNumberFormat="1" applyFont="1" applyFill="1" applyBorder="1" applyAlignment="1">
      <x:alignment horizontal="center" vertical="center"/>
    </x:xf>
    <x:xf numFmtId="0" fontId="2" fillId="0" borderId="74" xfId="0" applyNumberFormat="1" applyFont="1" applyFill="1" applyBorder="1" applyAlignment="1">
      <x:alignment horizontal="center" vertical="center"/>
    </x:xf>
    <x:xf numFmtId="0" fontId="2" fillId="0" borderId="75" xfId="0" applyNumberFormat="1" applyFont="1" applyFill="1" applyBorder="1" applyAlignment="1">
      <x:alignment horizontal="center" vertical="center"/>
    </x:xf>
    <x:xf numFmtId="0" fontId="2" fillId="0" borderId="75" xfId="0" applyNumberFormat="1" applyFont="1" applyFill="1" applyBorder="1" applyAlignment="1">
      <x:alignment horizontal="center"/>
    </x:xf>
    <x:xf numFmtId="0" fontId="2" fillId="0" borderId="56" xfId="0" applyNumberFormat="1" applyFont="1" applyFill="1" applyBorder="1" applyAlignment="1">
      <x:alignment horizontal="center" vertical="center"/>
    </x:xf>
    <x:xf numFmtId="0" fontId="2" fillId="0" borderId="76" xfId="0" applyNumberFormat="1" applyFont="1" applyFill="1" applyBorder="1" applyAlignment="1">
      <x:alignment horizontal="center" vertical="center"/>
    </x:xf>
    <x:xf numFmtId="0" fontId="2" fillId="0" borderId="77" xfId="0" applyNumberFormat="1" applyFont="1" applyFill="1" applyBorder="1" applyAlignment="1">
      <x:alignment horizontal="center" vertical="center"/>
    </x:xf>
    <x:xf numFmtId="0" fontId="2" fillId="0" borderId="57" xfId="0" applyNumberFormat="1" applyFont="1" applyFill="1" applyBorder="1" applyAlignment="1">
      <x:alignment horizontal="center" vertical="center"/>
    </x:xf>
    <x:xf numFmtId="0" fontId="2" fillId="0" borderId="77" xfId="0" applyNumberFormat="1" applyFont="1" applyFill="1" applyBorder="1" applyAlignment="1">
      <x:alignment horizontal="center"/>
    </x:xf>
    <x:xf numFmtId="0" fontId="2" fillId="0" borderId="57" xfId="0" applyNumberFormat="1" applyFont="1" applyFill="1" applyBorder="1" applyAlignment="1">
      <x:alignment horizontal="center"/>
    </x:xf>
    <x:xf numFmtId="0" fontId="2" fillId="0" borderId="76" xfId="0" applyNumberFormat="1" applyFont="1" applyFill="1" applyBorder="1" applyAlignment="1">
      <x:alignment horizontal="center"/>
    </x:xf>
    <x:xf numFmtId="0" fontId="5" fillId="0" borderId="78" xfId="0" applyNumberFormat="1" applyFont="1" applyFill="1" applyBorder="1" applyAlignment="1">
      <x:alignment horizontal="center" vertical="center"/>
    </x:xf>
    <x:xf numFmtId="0" fontId="5" fillId="0" borderId="79" xfId="0" applyNumberFormat="1" applyFont="1" applyFill="1" applyBorder="1" applyAlignment="1">
      <x:alignment horizontal="center" vertical="center"/>
    </x:xf>
    <x:xf numFmtId="0" fontId="0" fillId="0" borderId="80" xfId="0" applyNumberFormat="1" applyFont="1" applyFill="1" applyBorder="1" applyAlignment="1">
      <x:alignment vertical="center"/>
    </x:xf>
    <x:xf numFmtId="0" fontId="4" fillId="0" borderId="62" xfId="0" applyNumberFormat="1" applyFont="1" applyFill="1" applyBorder="1" applyAlignment="1">
      <x:alignment horizontal="left" vertical="center" wrapText="1"/>
    </x:xf>
    <x:xf numFmtId="0" fontId="4" fillId="0" borderId="60" xfId="0" applyNumberFormat="1" applyFont="1" applyFill="1" applyBorder="1" applyAlignment="1">
      <x:alignment horizontal="left" vertical="center" wrapText="1"/>
    </x:xf>
    <x:xf numFmtId="0" fontId="4" fillId="0" borderId="61" xfId="0" applyNumberFormat="1" applyFont="1" applyFill="1" applyBorder="1" applyAlignment="1">
      <x:alignment horizontal="left" vertical="center" wrapText="1"/>
    </x:xf>
    <x:xf numFmtId="0" fontId="4" fillId="0" borderId="63" xfId="0" applyNumberFormat="1" applyFont="1" applyFill="1" applyBorder="1" applyAlignment="1">
      <x:alignment horizontal="left" vertical="center" wrapText="1"/>
    </x:xf>
    <x:xf numFmtId="0" fontId="4" fillId="0" borderId="41" xfId="0" applyNumberFormat="1" applyFont="1" applyFill="1" applyBorder="1" applyAlignment="1">
      <x:alignment horizontal="left" vertical="center" wrapText="1"/>
    </x:xf>
    <x:xf numFmtId="0" fontId="4" fillId="0" borderId="64" xfId="0" applyNumberFormat="1" applyFont="1" applyFill="1" applyBorder="1" applyAlignment="1">
      <x:alignment horizontal="left" vertical="center" wrapText="1"/>
    </x:xf>
    <x:xf numFmtId="0" fontId="4" fillId="0" borderId="53" xfId="0" applyNumberFormat="1" applyFont="1" applyFill="1" applyBorder="1" applyAlignment="1">
      <x:alignment horizontal="left" vertical="center" wrapText="1"/>
    </x:xf>
    <x:xf numFmtId="0" fontId="4" fillId="0" borderId="54" xfId="0" applyNumberFormat="1" applyFont="1" applyFill="1" applyBorder="1" applyAlignment="1">
      <x:alignment horizontal="left" vertical="center" wrapText="1"/>
    </x:xf>
    <x:xf numFmtId="0" fontId="4" fillId="0" borderId="65" xfId="0" applyNumberFormat="1" applyFont="1" applyFill="1" applyBorder="1" applyAlignment="1">
      <x:alignment horizontal="left" vertical="center" wrapText="1"/>
    </x:xf>
    <x:xf numFmtId="0" fontId="4" fillId="2" borderId="56" xfId="0" applyNumberFormat="1" applyFont="1" applyFill="1" applyBorder="1" applyAlignment="1">
      <x:alignment horizontal="center" vertical="center"/>
    </x:xf>
    <x:xf numFmtId="0" fontId="5" fillId="2" borderId="57" xfId="0" applyNumberFormat="1" applyFont="1" applyFill="1" applyBorder="1" applyAlignment="1">
      <x:alignment vertical="center"/>
    </x:xf>
    <x:xf numFmtId="0" fontId="5" fillId="2" borderId="58" xfId="0" applyNumberFormat="1" applyFont="1" applyFill="1" applyBorder="1" applyAlignment="1">
      <x:alignment vertical="center"/>
    </x:xf>
    <x:xf numFmtId="0" fontId="4" fillId="0" borderId="59" xfId="0" applyNumberFormat="1" applyFont="1" applyFill="1" applyBorder="1" applyAlignment="1">
      <x:alignment horizontal="right" vertical="center" wrapText="1"/>
    </x:xf>
    <x:xf numFmtId="0" fontId="4" fillId="0" borderId="60" xfId="0" applyNumberFormat="1" applyFont="1" applyFill="1" applyBorder="1" applyAlignment="1">
      <x:alignment horizontal="right" vertical="center" wrapText="1"/>
    </x:xf>
    <x:xf numFmtId="0" fontId="4" fillId="0" borderId="66" xfId="0" applyNumberFormat="1" applyFont="1" applyFill="1" applyBorder="1" applyAlignment="1">
      <x:alignment horizontal="right" vertical="center" wrapText="1"/>
    </x:xf>
    <x:xf numFmtId="0" fontId="4" fillId="0" borderId="67" xfId="0" applyNumberFormat="1" applyFont="1" applyFill="1" applyBorder="1" applyAlignment="1">
      <x:alignment horizontal="right" vertical="center" wrapText="1"/>
    </x:xf>
    <x:xf numFmtId="0" fontId="4" fillId="0" borderId="41" xfId="0" applyNumberFormat="1" applyFont="1" applyFill="1" applyBorder="1" applyAlignment="1">
      <x:alignment horizontal="right" vertical="center" wrapText="1"/>
    </x:xf>
    <x:xf numFmtId="0" fontId="4" fillId="0" borderId="68" xfId="0" applyNumberFormat="1" applyFont="1" applyFill="1" applyBorder="1" applyAlignment="1">
      <x:alignment horizontal="right" vertical="center" wrapText="1"/>
    </x:xf>
    <x:xf numFmtId="0" fontId="4" fillId="0" borderId="69" xfId="0" applyNumberFormat="1" applyFont="1" applyFill="1" applyBorder="1" applyAlignment="1">
      <x:alignment horizontal="right" vertical="center" wrapText="1"/>
    </x:xf>
    <x:xf numFmtId="0" fontId="4" fillId="0" borderId="54" xfId="0" applyNumberFormat="1" applyFont="1" applyFill="1" applyBorder="1" applyAlignment="1">
      <x:alignment horizontal="right" vertical="center" wrapText="1"/>
    </x:xf>
    <x:xf numFmtId="0" fontId="4" fillId="0" borderId="55" xfId="0" applyNumberFormat="1" applyFont="1" applyFill="1" applyBorder="1" applyAlignment="1">
      <x:alignment horizontal="right" vertical="center" wrapText="1"/>
    </x:xf>
    <x:xf numFmtId="0" fontId="11" fillId="0" borderId="60" xfId="0" applyNumberFormat="1" applyFont="1" applyFill="1" applyBorder="1" applyAlignment="1">
      <x:alignment horizontal="right" vertical="center" wrapText="1"/>
    </x:xf>
    <x:xf numFmtId="0" fontId="11" fillId="0" borderId="66" xfId="0" applyNumberFormat="1" applyFont="1" applyFill="1" applyBorder="1" applyAlignment="1">
      <x:alignment horizontal="right" vertical="center" wrapText="1"/>
    </x:xf>
    <x:xf numFmtId="0" fontId="11" fillId="0" borderId="67" xfId="0" applyNumberFormat="1" applyFont="1" applyFill="1" applyBorder="1" applyAlignment="1">
      <x:alignment horizontal="right" vertical="center" wrapText="1"/>
    </x:xf>
    <x:xf numFmtId="0" fontId="11" fillId="0" borderId="41" xfId="0" applyNumberFormat="1" applyFont="1" applyFill="1" applyBorder="1" applyAlignment="1">
      <x:alignment horizontal="right" vertical="center" wrapText="1"/>
    </x:xf>
    <x:xf numFmtId="0" fontId="11" fillId="0" borderId="68" xfId="0" applyNumberFormat="1" applyFont="1" applyFill="1" applyBorder="1" applyAlignment="1">
      <x:alignment horizontal="right" vertical="center" wrapText="1"/>
    </x:xf>
    <x:xf numFmtId="0" fontId="11" fillId="0" borderId="69" xfId="0" applyNumberFormat="1" applyFont="1" applyFill="1" applyBorder="1" applyAlignment="1">
      <x:alignment horizontal="right" vertical="center" wrapText="1"/>
    </x:xf>
    <x:xf numFmtId="0" fontId="11" fillId="0" borderId="54" xfId="0" applyNumberFormat="1" applyFont="1" applyFill="1" applyBorder="1" applyAlignment="1">
      <x:alignment horizontal="right" vertical="center" wrapText="1"/>
    </x:xf>
    <x:xf numFmtId="0" fontId="11" fillId="0" borderId="55" xfId="0" applyNumberFormat="1" applyFont="1" applyFill="1" applyBorder="1" applyAlignment="1">
      <x:alignment horizontal="right" vertical="center" wrapText="1"/>
    </x:xf>
    <x:xf numFmtId="0" fontId="4" fillId="0" borderId="62" xfId="0" applyNumberFormat="1" applyFont="1" applyFill="1" applyBorder="1" applyAlignment="1">
      <x:alignment horizontal="right" vertical="center" wrapText="1"/>
    </x:xf>
    <x:xf numFmtId="0" fontId="0" fillId="0" borderId="60" xfId="0" applyNumberFormat="1" applyFont="1" applyFill="1" applyBorder="1" applyAlignment="1">
      <x:alignment vertical="center" wrapText="1"/>
    </x:xf>
    <x:xf numFmtId="0" fontId="0" fillId="0" borderId="61" xfId="0" applyNumberFormat="1" applyFont="1" applyFill="1" applyBorder="1" applyAlignment="1">
      <x:alignment vertical="center" wrapText="1"/>
    </x:xf>
    <x:xf numFmtId="0" fontId="4" fillId="0" borderId="63" xfId="0" applyNumberFormat="1" applyFont="1" applyFill="1" applyBorder="1" applyAlignment="1">
      <x:alignment horizontal="right" vertical="center" wrapText="1"/>
    </x:xf>
    <x:xf numFmtId="0" fontId="0" fillId="0" borderId="41" xfId="0" applyNumberFormat="1" applyFont="1" applyFill="1" applyBorder="1" applyAlignment="1">
      <x:alignment vertical="center" wrapText="1"/>
    </x:xf>
    <x:xf numFmtId="0" fontId="0" fillId="0" borderId="64" xfId="0" applyNumberFormat="1" applyFont="1" applyFill="1" applyBorder="1" applyAlignment="1">
      <x:alignment vertical="center" wrapText="1"/>
    </x:xf>
    <x:xf numFmtId="0" fontId="4" fillId="0" borderId="53" xfId="0" applyNumberFormat="1" applyFont="1" applyFill="1" applyBorder="1" applyAlignment="1">
      <x:alignment horizontal="right" vertical="center" wrapText="1"/>
    </x:xf>
    <x:xf numFmtId="0" fontId="0" fillId="0" borderId="54" xfId="0" applyNumberFormat="1" applyFont="1" applyFill="1" applyBorder="1" applyAlignment="1">
      <x:alignment vertical="center" wrapText="1"/>
    </x:xf>
    <x:xf numFmtId="0" fontId="0" fillId="0" borderId="65" xfId="0" applyNumberFormat="1" applyFont="1" applyFill="1" applyBorder="1" applyAlignment="1">
      <x:alignment vertical="center" wrapText="1"/>
    </x:xf>
    <x:xf numFmtId="0" fontId="5" fillId="0" borderId="59" xfId="0" applyNumberFormat="1" applyFont="1" applyFill="1" applyBorder="1" applyAlignment="1">
      <x:alignment horizontal="center" vertical="center"/>
    </x:xf>
    <x:xf numFmtId="0" fontId="5" fillId="0" borderId="60" xfId="0" applyNumberFormat="1" applyFont="1" applyFill="1" applyBorder="1" applyAlignment="1">
      <x:alignment horizontal="center" vertical="center"/>
    </x:xf>
    <x:xf numFmtId="0" fontId="0" fillId="0" borderId="60" xfId="0" applyNumberFormat="1" applyFont="1" applyFill="1" applyBorder="1" applyAlignment="1">
      <x:alignment vertical="center"/>
    </x:xf>
    <x:xf numFmtId="0" fontId="0" fillId="0" borderId="61" xfId="0" applyNumberFormat="1" applyFont="1" applyFill="1" applyBorder="1" applyAlignment="1">
      <x:alignment vertical="center"/>
    </x:xf>
    <x:xf numFmtId="0" fontId="12" fillId="5" borderId="62" xfId="0" applyNumberFormat="1" applyFont="1" applyFill="1" applyBorder="1" applyAlignment="1">
      <x:alignment horizontal="center" vertical="center" wrapText="1"/>
    </x:xf>
    <x:xf numFmtId="0" fontId="13" fillId="5" borderId="60" xfId="0" applyNumberFormat="1" applyFont="1" applyFill="1" applyBorder="1" applyAlignment="1">
      <x:alignment horizontal="center" vertical="center" wrapText="1"/>
    </x:xf>
    <x:xf numFmtId="0" fontId="13" fillId="5" borderId="66" xfId="0" applyNumberFormat="1" applyFont="1" applyFill="1" applyBorder="1" applyAlignment="1">
      <x:alignment horizontal="center" vertical="center" wrapText="1"/>
    </x:xf>
    <x:xf numFmtId="4" fontId="5" fillId="4" borderId="59" xfId="0" applyNumberFormat="1" applyFont="1" applyFill="1" applyBorder="1" applyAlignment="1">
      <x:alignment horizontal="center" vertical="center" wrapText="1"/>
    </x:xf>
    <x:xf numFmtId="0" fontId="4" fillId="3" borderId="62" xfId="0" applyNumberFormat="1" applyFont="1" applyFill="1" applyBorder="1" applyAlignment="1">
      <x:alignment horizontal="left" vertical="center" wrapText="1"/>
    </x:xf>
    <x:xf numFmtId="0" fontId="4" fillId="3" borderId="60" xfId="0" applyNumberFormat="1" applyFont="1" applyFill="1" applyBorder="1" applyAlignment="1">
      <x:alignment horizontal="left" vertical="center" wrapText="1"/>
    </x:xf>
    <x:xf numFmtId="0" fontId="4" fillId="3" borderId="61" xfId="0" applyNumberFormat="1" applyFont="1" applyFill="1" applyBorder="1" applyAlignment="1">
      <x:alignment horizontal="left" vertical="center" wrapText="1"/>
    </x:xf>
    <x:xf numFmtId="0" fontId="4" fillId="3" borderId="63" xfId="0" applyNumberFormat="1" applyFont="1" applyFill="1" applyBorder="1" applyAlignment="1">
      <x:alignment horizontal="left" vertical="center" wrapText="1"/>
    </x:xf>
    <x:xf numFmtId="0" fontId="4" fillId="3" borderId="41" xfId="0" applyNumberFormat="1" applyFont="1" applyFill="1" applyBorder="1" applyAlignment="1">
      <x:alignment horizontal="left" vertical="center" wrapText="1"/>
    </x:xf>
    <x:xf numFmtId="0" fontId="4" fillId="3" borderId="64" xfId="0" applyNumberFormat="1" applyFont="1" applyFill="1" applyBorder="1" applyAlignment="1">
      <x:alignment horizontal="left" vertical="center" wrapText="1"/>
    </x:xf>
    <x:xf numFmtId="0" fontId="4" fillId="3" borderId="53" xfId="0" applyNumberFormat="1" applyFont="1" applyFill="1" applyBorder="1" applyAlignment="1">
      <x:alignment horizontal="left" vertical="center" wrapText="1"/>
    </x:xf>
    <x:xf numFmtId="0" fontId="4" fillId="3" borderId="54" xfId="0" applyNumberFormat="1" applyFont="1" applyFill="1" applyBorder="1" applyAlignment="1">
      <x:alignment horizontal="left" vertical="center" wrapText="1"/>
    </x:xf>
    <x:xf numFmtId="0" fontId="4" fillId="3" borderId="65" xfId="0" applyNumberFormat="1" applyFont="1" applyFill="1" applyBorder="1" applyAlignment="1">
      <x:alignment horizontal="left" vertical="center" wrapText="1"/>
    </x:xf>
    <x:xf numFmtId="0" fontId="14" fillId="4" borderId="59" xfId="0" applyNumberFormat="1" applyFont="1" applyFill="1" applyBorder="1" applyAlignment="1">
      <x:alignment horizontal="center" vertical="center" wrapText="1"/>
    </x:xf>
    <x:xf numFmtId="0" fontId="14" fillId="4" borderId="60" xfId="0" applyNumberFormat="1" applyFont="1" applyFill="1" applyBorder="1" applyAlignment="1">
      <x:alignment horizontal="center" vertical="center"/>
    </x:xf>
    <x:xf numFmtId="0" fontId="14" fillId="4" borderId="6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7" fillId="6" borderId="0" xfId="0" applyNumberFormat="1" applyFont="1" applyFill="1" applyBorder="1"/>
    <x:xf numFmtId="0" fontId="17" fillId="6" borderId="0" xfId="0" applyNumberFormat="1" applyFont="1" applyFill="1" applyBorder="1" applyAlignment="1">
      <x:alignment horizontal="center"/>
    </x:xf>
    <x:xf numFmtId="0" fontId="17" fillId="6" borderId="0" xfId="0" applyNumberFormat="1" applyFont="1" applyFill="1" applyBorder="1" applyAlignment="1">
      <x:alignment horizontal="center" vertical="center"/>
    </x:xf>
    <x:xf numFmtId="0" fontId="0" fillId="6" borderId="41" xfId="0" applyNumberFormat="1" applyFont="1" applyFill="1" applyBorder="1"/>
    <x:xf numFmtId="0" fontId="17" fillId="6" borderId="41" xfId="0" applyNumberFormat="1" applyFont="1" applyFill="1" applyBorder="1"/>
    <x:xf numFmtId="0" fontId="17" fillId="6" borderId="41" xfId="0" applyNumberFormat="1" applyFont="1" applyFill="1" applyBorder="1" applyAlignment="1">
      <x:alignment horizontal="center"/>
    </x:xf>
    <x:xf numFmtId="0" fontId="17" fillId="6" borderId="41" xfId="0" applyNumberFormat="1" applyFont="1" applyFill="1" applyBorder="1" applyAlignment="1">
      <x:alignment horizontal="center" vertical="center"/>
    </x:xf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horizontal="center"/>
    </x:xf>
    <x:xf numFmtId="0" fontId="18" fillId="0" borderId="41" xfId="0" applyNumberFormat="1" applyFont="1" applyFill="1" applyBorder="1"/>
    <x:xf numFmtId="0" fontId="18" fillId="0" borderId="4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9" fillId="7" borderId="0" xfId="0" applyNumberFormat="1" applyFont="1" applyFill="1" applyBorder="1"/>
    <x:xf numFmtId="0" fontId="19" fillId="7" borderId="0" xfId="0" applyNumberFormat="1" applyFont="1" applyFill="1" applyBorder="1" applyAlignment="1">
      <x:alignment horizontal="center"/>
    </x:xf>
    <x:xf numFmtId="0" fontId="19" fillId="7" borderId="0" xfId="0" applyNumberFormat="1" applyFont="1" applyFill="1" applyBorder="1" applyAlignment="1">
      <x:alignment horizontal="center" vertical="center"/>
    </x:xf>
    <x:xf numFmtId="0" fontId="0" fillId="7" borderId="41" xfId="0" applyNumberFormat="1" applyFont="1" applyFill="1" applyBorder="1"/>
    <x:xf numFmtId="0" fontId="19" fillId="7" borderId="41" xfId="0" applyNumberFormat="1" applyFont="1" applyFill="1" applyBorder="1"/>
    <x:xf numFmtId="0" fontId="19" fillId="7" borderId="41" xfId="0" applyNumberFormat="1" applyFont="1" applyFill="1" applyBorder="1" applyAlignment="1">
      <x:alignment horizontal="center"/>
    </x:xf>
    <x:xf numFmtId="0" fontId="19" fillId="7" borderId="41" xfId="0" applyNumberFormat="1" applyFont="1" applyFill="1" applyBorder="1" applyAlignment="1">
      <x:alignment horizontal="center" vertical="center"/>
    </x:xf>
    <x:xf numFmtId="0" fontId="17" fillId="6" borderId="0" xfId="0" applyNumberFormat="1" applyFont="1" applyFill="1" applyBorder="1" applyAlignment="1">
      <x:alignment horizontal="center" vertical="center" wrapText="1"/>
    </x:xf>
    <x:xf numFmtId="0" fontId="18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9" fillId="7" borderId="0" xfId="0" applyNumberFormat="1" applyFont="1" applyFill="1" applyBorder="1" applyAlignment="1">
      <x:alignment horizontal="center" vertical="center" wrapText="1"/>
    </x:xf>
    <x:xf numFmtId="0" fontId="17" fillId="6" borderId="41" xfId="0" applyNumberFormat="1" applyFont="1" applyFill="1" applyBorder="1" applyAlignment="1">
      <x:alignment horizontal="center" vertical="center" wrapText="1"/>
    </x:xf>
    <x:xf numFmtId="0" fontId="18" fillId="0" borderId="41" xfId="0" applyNumberFormat="1" applyFont="1" applyFill="1" applyBorder="1" applyAlignment="1">
      <x:alignment horizontal="center" wrapText="1"/>
    </x:xf>
    <x:xf numFmtId="0" fontId="0" fillId="0" borderId="41" xfId="0" applyNumberFormat="1" applyFont="1" applyFill="1" applyBorder="1" applyAlignment="1">
      <x:alignment wrapText="1"/>
    </x:xf>
    <x:xf numFmtId="0" fontId="19" fillId="7" borderId="4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4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41" xfId="0" applyNumberFormat="1" applyFont="1" applyFill="1" applyBorder="1" applyAlignment="1">
      <x:alignment wrapText="1"/>
    </x:xf>
    <x:xf numFmtId="0" fontId="5" fillId="8" borderId="14" xfId="0" applyNumberFormat="1" applyFont="1" applyFill="1" applyBorder="1" applyAlignment="1">
      <x:alignment horizontal="center" vertical="center" wrapText="1"/>
    </x:xf>
    <x:xf numFmtId="1" fontId="5" fillId="8" borderId="14" xfId="0" applyNumberFormat="1" applyFont="1" applyFill="1" applyBorder="1" applyAlignment="1">
      <x:alignment horizontal="center" vertical="center" wrapText="1"/>
    </x:xf>
    <x:xf numFmtId="4" fontId="5" fillId="8" borderId="14" xfId="0" applyNumberFormat="1" applyFont="1" applyFill="1" applyBorder="1" applyAlignment="1">
      <x:alignment horizontal="center" vertical="center" wrapText="1"/>
    </x:xf>
    <x:xf numFmtId="0" fontId="14" fillId="8" borderId="14" xfId="0" applyNumberFormat="1" applyFont="1" applyFill="1" applyBorder="1" applyAlignment="1">
      <x:alignment horizontal="center" vertical="center" wrapText="1"/>
    </x:xf>
    <x:xf numFmtId="1" fontId="14" fillId="8" borderId="14" xfId="0" applyNumberFormat="1" applyFont="1" applyFill="1" applyBorder="1" applyAlignment="1">
      <x:alignment horizontal="center" vertical="center" wrapText="1"/>
    </x:xf>
    <x:xf numFmtId="4" fontId="14" fillId="8" borderId="14" xfId="0" applyNumberFormat="1" applyFont="1" applyFill="1" applyBorder="1" applyAlignment="1">
      <x:alignment horizontal="center" vertical="center" wrapText="1"/>
    </x:xf>
    <x:xf numFmtId="0" fontId="5" fillId="8" borderId="59" xfId="0" applyNumberFormat="1" applyFont="1" applyFill="1" applyBorder="1" applyAlignment="1">
      <x:alignment horizontal="center" vertical="center" wrapText="1"/>
    </x:xf>
    <x:xf numFmtId="1" fontId="5" fillId="8" borderId="59" xfId="0" applyNumberFormat="1" applyFont="1" applyFill="1" applyBorder="1" applyAlignment="1">
      <x:alignment horizontal="center" vertical="center" wrapText="1"/>
    </x:xf>
    <x:xf numFmtId="4" fontId="5" fillId="8" borderId="59" xfId="0" applyNumberFormat="1" applyFont="1" applyFill="1" applyBorder="1" applyAlignment="1">
      <x:alignment horizontal="center" vertical="center" wrapText="1"/>
    </x:xf>
    <x:xf numFmtId="0" fontId="14" fillId="8" borderId="59" xfId="0" applyNumberFormat="1" applyFont="1" applyFill="1" applyBorder="1" applyAlignment="1">
      <x:alignment horizontal="center" vertical="center" wrapText="1"/>
    </x:xf>
    <x:xf numFmtId="1" fontId="14" fillId="8" borderId="59" xfId="0" applyNumberFormat="1" applyFont="1" applyFill="1" applyBorder="1" applyAlignment="1">
      <x:alignment horizontal="center" vertical="center" wrapText="1"/>
    </x:xf>
    <x:xf numFmtId="4" fontId="14" fillId="8" borderId="59" xfId="0" applyNumberFormat="1" applyFont="1" applyFill="1" applyBorder="1" applyAlignment="1">
      <x:alignment horizontal="center" vertical="center" wrapText="1"/>
    </x:xf>
    <x:xf numFmtId="200" fontId="14" fillId="8" borderId="14" xfId="0" applyNumberFormat="1" applyFont="1" applyFill="1" applyBorder="1" applyAlignment="1">
      <x:alignment horizontal="center" vertical="center" wrapText="1"/>
    </x:xf>
    <x:xf numFmtId="200" fontId="14" fillId="8" borderId="59" xfId="0" applyNumberFormat="1" applyFont="1" applyFill="1" applyBorder="1" applyAlignment="1">
      <x:alignment horizontal="center" vertical="center" wrapText="1"/>
    </x:xf>
    <x:xf numFmtId="0" fontId="13" fillId="7" borderId="15" xfId="0" applyNumberFormat="1" applyFont="1" applyFill="1" applyBorder="1" applyAlignment="1">
      <x:alignment horizontal="center" vertical="center" wrapText="1"/>
    </x:xf>
    <x:xf numFmtId="0" fontId="13" fillId="7" borderId="60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horizontal="center" vertical="center"/>
    </x:xf>
    <x:xf numFmtId="0" fontId="20" fillId="9" borderId="0" xfId="0" applyNumberFormat="1" applyFont="1" applyFill="1" applyBorder="1" applyAlignment="1">
      <x:alignment horizontal="center" vertical="center"/>
    </x:xf>
    <x:xf numFmtId="0" fontId="20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2af98e9e0f472e" /><Relationship Type="http://schemas.openxmlformats.org/officeDocument/2006/relationships/theme" Target="/xl/theme/theme1.xml" Id="Rb75ee66c54514569" /><Relationship Type="http://schemas.openxmlformats.org/officeDocument/2006/relationships/sharedStrings" Target="/xl/sharedStrings.xml" Id="R28c655fbf7054f3c" /><Relationship Type="http://schemas.openxmlformats.org/officeDocument/2006/relationships/worksheet" Target="/xl/worksheets/sheet1.xml" Id="Rddbbcaec4129420d" /><Relationship Type="http://schemas.openxmlformats.org/officeDocument/2006/relationships/worksheet" Target="/xl/worksheets/sheet2.xml" Id="Rffbd55a212dc42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18" customWidth="1"/>
    <x:col min="2" max="4" width="14" customWidth="1"/>
    <x:col min="5" max="5" width="4.75" customWidth="1"/>
    <x:col min="6" max="8" width="14" customWidth="1"/>
    <x:col min="9" max="9" width="11.5" customWidth="1"/>
    <x:col min="10" max="10" width="20" customWidth="1"/>
  </x:cols>
  <x:sheetData>
    <x:row r="1" ht="27.950000762939453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3"/>
    </x:row>
    <x:row r="2" ht="21.950000762939453" customHeight="1">
      <x:c r="A2" s="24" t="s">
        <x:v>1</x:v>
      </x:c>
      <x:c r="B2" s="25"/>
      <x:c r="C2" s="25"/>
      <x:c r="D2" s="25"/>
      <x:c r="E2" s="25"/>
      <x:c r="F2" s="25"/>
      <x:c r="G2" s="25"/>
      <x:c r="H2" s="25"/>
      <x:c r="I2" s="25"/>
      <x:c r="J2" s="26"/>
    </x:row>
    <x:row r="3" ht="20.100000381469727" customHeight="1">
      <x:c r="A3" s="3" t="s">
        <x:v>2</x:v>
      </x:c>
      <x:c r="B3" s="109"/>
      <x:c r="C3" s="110"/>
      <x:c r="D3" s="110"/>
      <x:c r="E3" s="111"/>
      <x:c r="F3" s="111"/>
      <x:c r="G3" s="111"/>
      <x:c r="H3" s="111"/>
      <x:c r="I3" s="112"/>
      <x:c r="J3" s="4" t="s">
        <x:v>3</x:v>
      </x:c>
    </x:row>
    <x:row r="4" ht="20.100000381469727" customHeight="1">
      <x:c r="A4" s="5" t="s">
        <x:v>4</x:v>
      </x:c>
      <x:c r="B4" s="109"/>
      <x:c r="C4" s="110"/>
      <x:c r="D4" s="110"/>
      <x:c r="E4" s="111"/>
      <x:c r="F4" s="111"/>
      <x:c r="G4" s="111"/>
      <x:c r="H4" s="111"/>
      <x:c r="I4" s="112"/>
      <x:c r="J4" s="6" t="s">
        <x:v>5</x:v>
      </x:c>
    </x:row>
    <x:row r="5" ht="20.100000381469727" customHeight="1">
      <x:c r="A5" s="5" t="s">
        <x:v>6</x:v>
      </x:c>
      <x:c r="B5" s="109"/>
      <x:c r="C5" s="110"/>
      <x:c r="D5" s="110"/>
      <x:c r="E5" s="111"/>
      <x:c r="F5" s="111"/>
      <x:c r="G5" s="111"/>
      <x:c r="H5" s="111"/>
      <x:c r="I5" s="112"/>
      <x:c r="J5" s="6" t="s">
        <x:v>7</x:v>
      </x:c>
    </x:row>
    <x:row r="6" ht="20.100000381469727" customHeight="1">
      <x:c r="A6" s="5" t="s">
        <x:v>8</x:v>
      </x:c>
      <x:c r="B6" s="109"/>
      <x:c r="C6" s="110"/>
      <x:c r="D6" s="110"/>
      <x:c r="E6" s="111"/>
      <x:c r="F6" s="111"/>
      <x:c r="G6" s="111"/>
      <x:c r="H6" s="111"/>
      <x:c r="I6" s="112"/>
      <x:c r="J6" s="6" t="s">
        <x:v>9</x:v>
      </x:c>
    </x:row>
    <x:row r="7" ht="20.100000381469727" customHeight="1">
      <x:c r="A7" s="7" t="s">
        <x:v>10</x:v>
      </x:c>
      <x:c r="B7" s="109"/>
      <x:c r="C7" s="110"/>
      <x:c r="D7" s="110"/>
      <x:c r="E7" s="111"/>
      <x:c r="F7" s="111"/>
      <x:c r="G7" s="111"/>
      <x:c r="H7" s="111"/>
      <x:c r="I7" s="112"/>
      <x:c r="J7" s="8" t="s">
        <x:v>11</x:v>
      </x:c>
    </x:row>
    <x:row r="8" ht="21.950000762939453" customHeight="1">
      <x:c r="A8" s="27" t="s">
        <x:v>12</x:v>
      </x:c>
      <x:c r="B8" s="28"/>
      <x:c r="C8" s="28"/>
      <x:c r="D8" s="28"/>
      <x:c r="E8" s="28"/>
      <x:c r="F8" s="28"/>
      <x:c r="G8" s="28"/>
      <x:c r="H8" s="28"/>
      <x:c r="I8" s="28"/>
      <x:c r="J8" s="29"/>
    </x:row>
    <x:row r="9" ht="24" customHeight="1">
      <x:c r="A9" s="113" t="s">
        <x:v>13</x:v>
      </x:c>
      <x:c r="B9" s="313" t="str">
        <x:v>اختر شريحة الاستحقاق حسب مدة الخدمة المحسوبة على مكافأة نهاية الخدمة عند الاستقالة / Select entitlement based on resignation EOS coverage</x:v>
      </x:c>
      <x:c r="C9" s="313"/>
      <x:c r="D9" s="313"/>
      <x:c r="E9" s="313"/>
      <x:c r="F9" s="313"/>
      <x:c r="G9" s="313"/>
      <x:c r="H9" s="313"/>
      <x:c r="I9" s="313"/>
      <x:c r="J9" s="115"/>
    </x:row>
    <x:row r="10" ht="24" customHeight="1">
      <x:c r="A10" s="15" t="s">
        <x:v>14</x:v>
      </x:c>
      <x:c r="B10" s="302" t="str">
        <x:v>من 3 سنوات و4 أشهر فأكثر – 3 أشهر مقدماً</x:v>
      </x:c>
      <x:c r="C10" s="31"/>
      <x:c r="D10" s="31"/>
      <x:c r="E10" s="32"/>
      <x:c r="F10" s="32"/>
      <x:c r="G10" s="32"/>
      <x:c r="H10" s="32"/>
      <x:c r="I10" s="33"/>
      <x:c r="J10" s="18" t="s">
        <x:v>15</x:v>
      </x:c>
    </x:row>
    <x:row r="11" ht="24" customHeight="1">
      <x:c r="A11" s="16" t="s">
        <x:v>16</x:v>
      </x:c>
      <x:c r="B11" s="303" t="str">
        <x:f>IF(ISNUMBER(SEARCH("12",B10)),12,IF(ISNUMBER(SEARCH("9",B10)),9,IF(ISNUMBER(SEARCH("6",B10)),6,IF(ISNUMBER(SEARCH("3",B10)),3,""))))</x:f>
      </x:c>
      <x:c r="C11" s="31"/>
      <x:c r="D11" s="31"/>
      <x:c r="E11" s="32"/>
      <x:c r="F11" s="32"/>
      <x:c r="G11" s="32"/>
      <x:c r="H11" s="32"/>
      <x:c r="I11" s="33"/>
      <x:c r="J11" s="19" t="s">
        <x:v>17</x:v>
      </x:c>
    </x:row>
    <x:row r="12" ht="24" customHeight="1">
      <x:c r="A12" s="16" t="s">
        <x:v>18</x:v>
      </x:c>
      <x:c r="B12" s="311" t="n">
        <x:v>1250</x:v>
      </x:c>
      <x:c r="C12" s="31"/>
      <x:c r="D12" s="31"/>
      <x:c r="E12" s="32"/>
      <x:c r="F12" s="32"/>
      <x:c r="G12" s="32"/>
      <x:c r="H12" s="32"/>
      <x:c r="I12" s="33"/>
      <x:c r="J12" s="19" t="s">
        <x:v>19</x:v>
      </x:c>
    </x:row>
    <x:row r="13" ht="24" customHeight="1">
      <x:c r="A13" s="16" t="s">
        <x:v>20</x:v>
      </x:c>
      <x:c r="B13" s="311" t="n">
        <x:f>B11*B12</x:f>
        <x:v>0</x:v>
      </x:c>
      <x:c r="C13" s="31"/>
      <x:c r="D13" s="31"/>
      <x:c r="E13" s="32"/>
      <x:c r="F13" s="32"/>
      <x:c r="G13" s="32"/>
      <x:c r="H13" s="32"/>
      <x:c r="I13" s="33"/>
      <x:c r="J13" s="19" t="s">
        <x:v>21</x:v>
      </x:c>
    </x:row>
    <x:row r="14" ht="82.5" customHeight="1">
      <x:c r="A14" s="17" t="s">
        <x:v>22</x:v>
      </x:c>
      <x:c r="B14" s="135" t="s">
        <x:v>23</x:v>
      </x:c>
      <x:c r="C14" s="136" t="s">
        <x:v>24</x:v>
      </x:c>
      <x:c r="D14" s="136" t="s">
        <x:v>24</x:v>
      </x:c>
      <x:c r="E14" s="136" t="s">
        <x:v>24</x:v>
      </x:c>
      <x:c r="F14" s="136" t="s">
        <x:v>24</x:v>
      </x:c>
      <x:c r="G14" s="136" t="s">
        <x:v>24</x:v>
      </x:c>
      <x:c r="H14" s="136" t="s">
        <x:v>24</x:v>
      </x:c>
      <x:c r="I14" s="137" t="s">
        <x:v>24</x:v>
      </x:c>
      <x:c r="J14" s="20" t="s">
        <x:v>25</x:v>
      </x:c>
    </x:row>
    <x:row r="15" ht="36" customHeight="1">
      <x:c r="A15" s="117" t="s">
        <x:v>26</x:v>
      </x:c>
      <x:c r="B15" s="118"/>
      <x:c r="C15" s="118"/>
      <x:c r="D15" s="118"/>
      <x:c r="E15" s="119"/>
      <x:c r="F15" s="126" t="s">
        <x:v>27</x:v>
      </x:c>
      <x:c r="G15" s="127"/>
      <x:c r="H15" s="127"/>
      <x:c r="I15" s="127"/>
      <x:c r="J15" s="128"/>
    </x:row>
    <x:row r="16" ht="36" customHeight="1">
      <x:c r="A16" s="120"/>
      <x:c r="B16" s="121"/>
      <x:c r="C16" s="121"/>
      <x:c r="D16" s="121"/>
      <x:c r="E16" s="122"/>
      <x:c r="F16" s="129"/>
      <x:c r="G16" s="130"/>
      <x:c r="H16" s="130"/>
      <x:c r="I16" s="130"/>
      <x:c r="J16" s="131"/>
    </x:row>
    <x:row r="17" ht="36" customHeight="1">
      <x:c r="A17" s="123"/>
      <x:c r="B17" s="124"/>
      <x:c r="C17" s="124"/>
      <x:c r="D17" s="124"/>
      <x:c r="E17" s="125"/>
      <x:c r="F17" s="132"/>
      <x:c r="G17" s="133"/>
      <x:c r="H17" s="133"/>
      <x:c r="I17" s="133"/>
      <x:c r="J17" s="134"/>
    </x:row>
    <x:row r="18" ht="32.099998474121094" customHeight="1">
      <x:c r="A18" s="71" t="s">
        <x:v>28</x:v>
      </x:c>
      <x:c r="B18" s="72"/>
      <x:c r="C18" s="72"/>
      <x:c r="D18" s="72"/>
      <x:c r="E18" s="73"/>
      <x:c r="F18" s="83" t="s">
        <x:v>29</x:v>
      </x:c>
      <x:c r="G18" s="84"/>
      <x:c r="H18" s="84"/>
      <x:c r="I18" s="84"/>
      <x:c r="J18" s="85"/>
    </x:row>
    <x:row r="19" ht="32.099998474121094" customHeight="1">
      <x:c r="A19" s="74"/>
      <x:c r="B19" s="75"/>
      <x:c r="C19" s="75"/>
      <x:c r="D19" s="75"/>
      <x:c r="E19" s="76"/>
      <x:c r="F19" s="86"/>
      <x:c r="G19" s="87"/>
      <x:c r="H19" s="87"/>
      <x:c r="I19" s="87"/>
      <x:c r="J19" s="88"/>
    </x:row>
    <x:row r="20" ht="32.099998474121094" customHeight="1">
      <x:c r="A20" s="77"/>
      <x:c r="B20" s="78"/>
      <x:c r="C20" s="78"/>
      <x:c r="D20" s="78"/>
      <x:c r="E20" s="79"/>
      <x:c r="F20" s="89"/>
      <x:c r="G20" s="90"/>
      <x:c r="H20" s="90"/>
      <x:c r="I20" s="90"/>
      <x:c r="J20" s="91"/>
    </x:row>
    <x:row r="21" ht="45" customHeight="1">
      <x:c r="A21" s="100" t="s">
        <x:v>30</x:v>
      </x:c>
      <x:c r="B21" s="84"/>
      <x:c r="C21" s="84"/>
      <x:c r="D21" s="101"/>
      <x:c r="E21" s="102"/>
      <x:c r="F21" s="83" t="s">
        <x:v>31</x:v>
      </x:c>
      <x:c r="G21" s="92"/>
      <x:c r="H21" s="92"/>
      <x:c r="I21" s="92"/>
      <x:c r="J21" s="93"/>
    </x:row>
    <x:row r="22" ht="20.100000381469727" customHeight="1">
      <x:c r="A22" s="103"/>
      <x:c r="B22" s="87"/>
      <x:c r="C22" s="87"/>
      <x:c r="D22" s="104"/>
      <x:c r="E22" s="105"/>
      <x:c r="F22" s="94"/>
      <x:c r="G22" s="95"/>
      <x:c r="H22" s="95"/>
      <x:c r="I22" s="95"/>
      <x:c r="J22" s="96"/>
    </x:row>
    <x:row r="23" ht="20.100000381469727" customHeight="1">
      <x:c r="A23" s="106"/>
      <x:c r="B23" s="90"/>
      <x:c r="C23" s="90"/>
      <x:c r="D23" s="107"/>
      <x:c r="E23" s="108"/>
      <x:c r="F23" s="97"/>
      <x:c r="G23" s="98"/>
      <x:c r="H23" s="98"/>
      <x:c r="I23" s="98"/>
      <x:c r="J23" s="99"/>
    </x:row>
    <x:row r="24" ht="21.950000762939453" customHeight="1">
      <x:c r="A24" s="80" t="s">
        <x:v>32</x:v>
      </x:c>
      <x:c r="B24" s="81"/>
      <x:c r="C24" s="81"/>
      <x:c r="D24" s="81"/>
      <x:c r="E24" s="81"/>
      <x:c r="F24" s="81"/>
      <x:c r="G24" s="81"/>
      <x:c r="H24" s="81"/>
      <x:c r="I24" s="81"/>
      <x:c r="J24" s="82"/>
    </x:row>
    <x:row r="25" ht="20.100000381469727" customHeight="1">
      <x:c r="A25" s="9" t="s">
        <x:v>33</x:v>
      </x:c>
      <x:c r="B25" s="53"/>
      <x:c r="C25" s="53"/>
      <x:c r="D25" s="53"/>
      <x:c r="E25" s="53"/>
      <x:c r="F25" s="53"/>
      <x:c r="G25" s="53"/>
      <x:c r="H25" s="53"/>
      <x:c r="I25" s="53"/>
      <x:c r="J25" s="10" t="s">
        <x:v>34</x:v>
      </x:c>
    </x:row>
    <x:row r="26" ht="29.25" customHeight="1">
      <x:c r="A26" s="11" t="s">
        <x:v>35</x:v>
      </x:c>
      <x:c r="B26" s="317" t="str">
        <x:v>تُحسب حقوق نهاية الخدمة عند الاستقالة على أساس الأجر الشهري: الأساسي 5,000 + بدل السكن 1,250 + بدل النقل 500 = 6,750 ريال.</x:v>
      </x:c>
      <x:c r="C26" s="317"/>
      <x:c r="D26" s="317"/>
      <x:c r="E26" s="317"/>
      <x:c r="F26" s="317"/>
      <x:c r="G26" s="317"/>
      <x:c r="H26" s="317"/>
      <x:c r="I26" s="317"/>
      <x:c r="J26" s="12" t="s">
        <x:v>36</x:v>
      </x:c>
    </x:row>
    <x:row r="27" ht="28.5" customHeight="1">
      <x:c r="A27" s="11" t="s">
        <x:v>37</x:v>
      </x:c>
      <x:c r="B27" s="317" t="str">
        <x:v>تم ضبط شرائح بدل السكن المقدم بحيث لا تتجاوز قيمة بدل السكن المقدم الحد المغطى تقريباً من مكافأة نهاية الخدمة عند الاستقالة، مع بقاء الاعتماد النهائي حسب الصلاحيات.</x:v>
      </x:c>
      <x:c r="C27" s="317"/>
      <x:c r="D27" s="317"/>
      <x:c r="E27" s="317"/>
      <x:c r="F27" s="317"/>
      <x:c r="G27" s="317"/>
      <x:c r="H27" s="317"/>
      <x:c r="I27" s="317"/>
      <x:c r="J27" s="12" t="s">
        <x:v>38</x:v>
      </x:c>
    </x:row>
    <x:row r="28" ht="29.25" customHeight="1">
      <x:c r="A28" s="13" t="s">
        <x:v>39</x:v>
      </x:c>
      <x:c r="B28" s="53"/>
      <x:c r="C28" s="53"/>
      <x:c r="D28" s="53"/>
      <x:c r="E28" s="53"/>
      <x:c r="F28" s="53"/>
      <x:c r="G28" s="53"/>
      <x:c r="H28" s="53"/>
      <x:c r="I28" s="53"/>
      <x:c r="J28" s="14" t="s">
        <x:v>40</x:v>
      </x:c>
    </x:row>
    <x:row r="29" ht="21.950000762939453" customHeight="1">
      <x:c r="A29" s="80" t="s">
        <x:v>41</x:v>
      </x:c>
      <x:c r="B29" s="81"/>
      <x:c r="C29" s="81"/>
      <x:c r="D29" s="81"/>
      <x:c r="E29" s="81"/>
      <x:c r="F29" s="81"/>
      <x:c r="G29" s="81"/>
      <x:c r="H29" s="81"/>
      <x:c r="I29" s="81"/>
      <x:c r="J29" s="82"/>
    </x:row>
    <x:row r="30" ht="25.5" customHeight="1">
      <x:c r="A30" s="9" t="s">
        <x:v>42</x:v>
      </x:c>
      <x:c r="B30" s="109"/>
      <x:c r="C30" s="110"/>
      <x:c r="D30" s="110"/>
      <x:c r="E30" s="111"/>
      <x:c r="F30" s="53"/>
      <x:c r="G30" s="53"/>
      <x:c r="H30" s="53"/>
      <x:c r="I30" s="53"/>
      <x:c r="J30" s="10" t="s">
        <x:v>43</x:v>
      </x:c>
    </x:row>
    <x:row r="31" ht="26.25" customHeight="1">
      <x:c r="A31" s="9" t="s">
        <x:v>44</x:v>
      </x:c>
      <x:c r="B31" s="68"/>
      <x:c r="C31" s="69"/>
      <x:c r="D31" s="69"/>
      <x:c r="E31" s="70"/>
      <x:c r="F31" s="53"/>
      <x:c r="G31" s="53"/>
      <x:c r="H31" s="53"/>
      <x:c r="I31" s="53"/>
      <x:c r="J31" s="12" t="s">
        <x:v>45</x:v>
      </x:c>
    </x:row>
    <x:row r="32" ht="37.5" customHeight="1">
      <x:c r="A32" s="11" t="s">
        <x:v>46</x:v>
      </x:c>
      <x:c r="B32" s="68"/>
      <x:c r="C32" s="69"/>
      <x:c r="D32" s="69"/>
      <x:c r="E32" s="70"/>
      <x:c r="F32" s="53"/>
      <x:c r="G32" s="53"/>
      <x:c r="H32" s="53"/>
      <x:c r="I32" s="53"/>
      <x:c r="J32" s="12" t="s">
        <x:v>47</x:v>
      </x:c>
    </x:row>
    <x:row r="33" ht="30" customHeight="1">
      <x:c r="A33" s="11" t="s">
        <x:v>48</x:v>
      </x:c>
      <x:c r="B33" s="68"/>
      <x:c r="C33" s="69"/>
      <x:c r="D33" s="69"/>
      <x:c r="E33" s="70"/>
      <x:c r="F33" s="53"/>
      <x:c r="G33" s="53"/>
      <x:c r="H33" s="53"/>
      <x:c r="I33" s="53"/>
      <x:c r="J33" s="12" t="s">
        <x:v>49</x:v>
      </x:c>
    </x:row>
    <x:row r="34" ht="39.599998474121094" customHeight="1">
      <x:c r="A34" s="11" t="s">
        <x:v>50</x:v>
      </x:c>
      <x:c r="B34" s="68"/>
      <x:c r="C34" s="69"/>
      <x:c r="D34" s="69"/>
      <x:c r="E34" s="70"/>
      <x:c r="F34" s="53"/>
      <x:c r="G34" s="53"/>
      <x:c r="H34" s="53"/>
      <x:c r="I34" s="53"/>
      <x:c r="J34" s="12" t="s">
        <x:v>51</x:v>
      </x:c>
    </x:row>
    <x:row r="35" ht="29.25" customHeight="1">
      <x:c r="A35" s="11" t="s">
        <x:v>52</x:v>
      </x:c>
      <x:c r="B35" s="68"/>
      <x:c r="C35" s="69"/>
      <x:c r="D35" s="69"/>
      <x:c r="E35" s="70"/>
      <x:c r="F35" s="53"/>
      <x:c r="G35" s="53"/>
      <x:c r="H35" s="53"/>
      <x:c r="I35" s="53"/>
      <x:c r="J35" s="12" t="s">
        <x:v>53</x:v>
      </x:c>
    </x:row>
    <x:row r="36" ht="37.5" customHeight="1">
      <x:c r="A36" s="11" t="s">
        <x:v>54</x:v>
      </x:c>
      <x:c r="B36" s="68"/>
      <x:c r="C36" s="69"/>
      <x:c r="D36" s="69"/>
      <x:c r="E36" s="70"/>
      <x:c r="F36" s="53"/>
      <x:c r="G36" s="53"/>
      <x:c r="H36" s="53"/>
      <x:c r="I36" s="53"/>
      <x:c r="J36" s="12" t="s">
        <x:v>55</x:v>
      </x:c>
    </x:row>
    <x:row r="37" ht="33" customHeight="1">
      <x:c r="A37" s="13" t="s">
        <x:v>56</x:v>
      </x:c>
      <x:c r="B37" s="68"/>
      <x:c r="C37" s="69"/>
      <x:c r="D37" s="69"/>
      <x:c r="E37" s="70"/>
      <x:c r="F37" s="53"/>
      <x:c r="G37" s="53"/>
      <x:c r="H37" s="53"/>
      <x:c r="I37" s="53"/>
      <x:c r="J37" s="14" t="s">
        <x:v>57</x:v>
      </x:c>
    </x:row>
    <x:row r="38" ht="21.950000762939453" customHeight="1">
      <x:c r="A38" s="35" t="s">
        <x:v>58</x:v>
      </x:c>
      <x:c r="B38" s="36"/>
      <x:c r="C38" s="36"/>
      <x:c r="D38" s="36"/>
      <x:c r="E38" s="36"/>
      <x:c r="F38" s="36"/>
      <x:c r="G38" s="36"/>
      <x:c r="H38" s="36"/>
      <x:c r="I38" s="36"/>
      <x:c r="J38" s="37"/>
    </x:row>
    <x:row r="39" ht="27" customHeight="1">
      <x:c r="A39" s="35" t="s">
        <x:v>59</x:v>
      </x:c>
      <x:c r="B39" s="36"/>
      <x:c r="C39" s="36"/>
      <x:c r="D39" s="36"/>
      <x:c r="E39" s="36"/>
      <x:c r="F39" s="36"/>
      <x:c r="G39" s="36"/>
      <x:c r="H39" s="36"/>
      <x:c r="I39" s="36"/>
      <x:c r="J39" s="37"/>
    </x:row>
    <x:row r="40" ht="48" customHeight="1">
      <x:c r="A40" s="38" t="s">
        <x:v>60</x:v>
      </x:c>
      <x:c r="B40" s="39"/>
      <x:c r="C40" s="39"/>
      <x:c r="D40" s="39"/>
      <x:c r="E40" s="40"/>
      <x:c r="F40" s="47" t="s">
        <x:v>61</x:v>
      </x:c>
      <x:c r="G40" s="39"/>
      <x:c r="H40" s="39"/>
      <x:c r="I40" s="39"/>
      <x:c r="J40" s="48"/>
    </x:row>
    <x:row r="41" ht="20.100000381469727" customHeight="1">
      <x:c r="A41" s="41"/>
      <x:c r="B41" s="42"/>
      <x:c r="C41" s="42"/>
      <x:c r="D41" s="42"/>
      <x:c r="E41" s="43"/>
      <x:c r="F41" s="49"/>
      <x:c r="G41" s="42"/>
      <x:c r="H41" s="42"/>
      <x:c r="I41" s="42"/>
      <x:c r="J41" s="50"/>
    </x:row>
    <x:row r="42" ht="20.100000381469727" customHeight="1">
      <x:c r="A42" s="44"/>
      <x:c r="B42" s="45"/>
      <x:c r="C42" s="45"/>
      <x:c r="D42" s="45"/>
      <x:c r="E42" s="46"/>
      <x:c r="F42" s="51"/>
      <x:c r="G42" s="45"/>
      <x:c r="H42" s="45"/>
      <x:c r="I42" s="45"/>
      <x:c r="J42" s="52"/>
    </x:row>
    <x:row r="43" ht="20.100000381469727" customHeight="1">
      <x:c r="A43" s="57" t="s">
        <x:v>62</x:v>
      </x:c>
      <x:c r="B43" s="58"/>
      <x:c r="C43" s="59" t="s">
        <x:v>63</x:v>
      </x:c>
      <x:c r="D43" s="59"/>
      <x:c r="E43" s="59"/>
      <x:c r="F43" s="60" t="s">
        <x:v>64</x:v>
      </x:c>
      <x:c r="G43" s="60"/>
      <x:c r="H43" s="60"/>
      <x:c r="I43" s="60"/>
      <x:c r="J43" s="1">
        <x:v>7</x:v>
      </x:c>
    </x:row>
    <x:row r="44" ht="20.100000381469727" customHeight="1">
      <x:c r="A44" s="61"/>
      <x:c r="B44" s="62"/>
      <x:c r="C44" s="63"/>
      <x:c r="D44" s="64"/>
      <x:c r="E44" s="62"/>
      <x:c r="F44" s="65" t="s">
        <x:v>65</x:v>
      </x:c>
      <x:c r="G44" s="66"/>
      <x:c r="H44" s="66"/>
      <x:c r="I44" s="67"/>
      <x:c r="J44" s="2" t="s">
        <x:v>66</x:v>
      </x:c>
    </x:row>
    <x:row r="45" ht="18" customHeight="1">
      <x:c r="A45" s="54" t="s">
        <x:v>67</x:v>
      </x:c>
      <x:c r="B45" s="55"/>
      <x:c r="C45" s="55"/>
      <x:c r="D45" s="55"/>
      <x:c r="E45" s="55"/>
      <x:c r="F45" s="55"/>
      <x:c r="G45" s="55"/>
      <x:c r="H45" s="55"/>
      <x:c r="I45" s="55"/>
      <x:c r="J45" s="56"/>
    </x:row>
  </x:sheetData>
  <x:mergeCells>
    <x:mergeCell ref="B12:I12"/>
    <x:mergeCell ref="B13:I13"/>
    <x:mergeCell ref="B14:I14"/>
    <x:mergeCell ref="A15:E17"/>
    <x:mergeCell ref="F15:J17"/>
    <x:mergeCell ref="B31:E31"/>
    <x:mergeCell ref="B32:E32"/>
    <x:mergeCell ref="B33:E33"/>
    <x:mergeCell ref="B34:E34"/>
    <x:mergeCell ref="B25:I25"/>
    <x:mergeCell ref="B28:I28"/>
    <x:mergeCell ref="B27:I27"/>
    <x:mergeCell ref="B26:I26"/>
    <x:mergeCell ref="A18:E20"/>
    <x:mergeCell ref="A29:J29"/>
    <x:mergeCell ref="F18:J20"/>
    <x:mergeCell ref="A24:J24"/>
    <x:mergeCell ref="F21:J23"/>
    <x:mergeCell ref="A21:E23"/>
    <x:mergeCell ref="A45:J45"/>
    <x:mergeCell ref="A43:B43"/>
    <x:mergeCell ref="C43:E43"/>
    <x:mergeCell ref="F43:I43"/>
    <x:mergeCell ref="A44:B44"/>
    <x:mergeCell ref="C44:E44"/>
    <x:mergeCell ref="F44:I44"/>
    <x:mergeCell ref="A38:J38"/>
    <x:mergeCell ref="A39:J39"/>
    <x:mergeCell ref="A40:E42"/>
    <x:mergeCell ref="F40:J42"/>
    <x:mergeCell ref="F30:I30"/>
    <x:mergeCell ref="F37:I37"/>
    <x:mergeCell ref="F36:I36"/>
    <x:mergeCell ref="F35:I35"/>
    <x:mergeCell ref="F34:I34"/>
    <x:mergeCell ref="B37:E37"/>
    <x:mergeCell ref="F33:I33"/>
    <x:mergeCell ref="F32:I32"/>
    <x:mergeCell ref="F31:I31"/>
    <x:mergeCell ref="B35:E35"/>
    <x:mergeCell ref="B36:E36"/>
    <x:mergeCell ref="B30:E30"/>
    <x:mergeCell ref="A1:J1"/>
    <x:mergeCell ref="A2:J2"/>
    <x:mergeCell ref="A8:J8"/>
    <x:mergeCell ref="B10:I10"/>
    <x:mergeCell ref="B11:I11"/>
    <x:mergeCell ref="B3:I3"/>
    <x:mergeCell ref="B4:I4"/>
    <x:mergeCell ref="B5:I5"/>
    <x:mergeCell ref="B6:I6"/>
    <x:mergeCell ref="B7:I7"/>
    <x:mergeCell ref="A9:J9"/>
  </x:mergeCells>
  <x:dataValidations count="1">
    <x:dataValidation type="list" sqref="B10">
      <x:formula1>Calculation!$I$2:$I$5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22" hidden="0" customWidth="1"/>
    <x:col min="5" max="5" width="42" hidden="0" customWidth="1"/>
    <x:col min="6" max="6" width="22" hidden="0" customWidth="1"/>
    <x:col min="7" max="7" width="22" hidden="0" customWidth="1"/>
  </x:cols>
  <x:sheetData>
    <x:row r="1" ht="24" customHeight="1">
      <x:c r="A1" s="287" t="str">
        <x:v>شرح الحسبة الدقيقة لشرائح بدل السكن المقدم</x:v>
      </x:c>
      <x:c r="B1" s="287" t="str"/>
      <x:c r="C1" s="287" t="str"/>
      <x:c r="D1" s="287" t="str"/>
      <x:c r="E1" s="287" t="str"/>
      <x:c r="F1" s="287" t="str"/>
      <x:c r="G1" s="287" t="str"/>
      <x:c r="I1" t="str">
        <x:v>Entitlement Options</x:v>
      </x:c>
    </x:row>
    <x:row r="2" ht="24" customHeight="1">
      <x:c r="A2" s="288" t="str">
        <x:v>Calculation Explanation for Advance Housing Allowance</x:v>
      </x:c>
      <x:c r="B2" s="288" t="str"/>
      <x:c r="C2" s="288" t="str"/>
      <x:c r="D2" s="288" t="str"/>
      <x:c r="E2" s="288" t="str"/>
      <x:c r="F2" s="288" t="str"/>
      <x:c r="G2" s="288" t="str"/>
      <x:c r="I2" t="str">
        <x:v>من 3 سنوات و4 أشهر فأكثر – 3 أشهر مقدماً</x:v>
      </x:c>
    </x:row>
    <x:row r="3">
      <x:c r="A3" s="289" t="str"/>
      <x:c r="B3" s="289" t="str"/>
      <x:c r="C3" s="289" t="str"/>
      <x:c r="D3" s="289" t="str"/>
      <x:c r="E3" s="289" t="str"/>
      <x:c r="F3" s="289" t="str"/>
      <x:c r="G3" s="289" t="str"/>
      <x:c r="I3" t="str">
        <x:v>من 5 سنوات فأكثر – 6 أشهر مقدماً</x:v>
      </x:c>
    </x:row>
    <x:row r="4">
      <x:c r="A4" s="290" t="str">
        <x:v>المعطيات / Inputs</x:v>
      </x:c>
      <x:c r="B4" s="290" t="str"/>
      <x:c r="C4" s="290" t="str"/>
      <x:c r="D4" s="290" t="str"/>
      <x:c r="E4" s="290" t="str"/>
      <x:c r="F4" s="290" t="str"/>
      <x:c r="G4" s="290" t="str"/>
      <x:c r="I4" t="str">
        <x:v>من 5 سنوات فأكثر – 9 أشهر مقدماً</x:v>
      </x:c>
    </x:row>
    <x:row r="5">
      <x:c r="A5" s="289" t="str">
        <x:v>الراتب الأساسي / Basic Salary</x:v>
      </x:c>
      <x:c r="B5" s="295" t="n">
        <x:v>5000</x:v>
      </x:c>
      <x:c r="C5" s="289" t="str">
        <x:v>ريال</x:v>
      </x:c>
      <x:c r="D5" s="289" t="str"/>
      <x:c r="E5" s="289" t="str"/>
      <x:c r="F5" s="289" t="str"/>
      <x:c r="G5" s="289" t="str"/>
      <x:c r="I5" t="str">
        <x:v>من 6 سنوات و10 أشهر فأكثر – 12 شهراً مقدماً</x:v>
      </x:c>
    </x:row>
    <x:row r="6">
      <x:c r="A6" s="289" t="str">
        <x:v>بدل السكن الشهري / Monthly Housing Allowance</x:v>
      </x:c>
      <x:c r="B6" s="295" t="n">
        <x:v>1250</x:v>
      </x:c>
      <x:c r="C6" s="289" t="str">
        <x:v>ريال</x:v>
      </x:c>
      <x:c r="D6" s="289" t="str"/>
      <x:c r="E6" s="289" t="str"/>
      <x:c r="F6" s="289" t="str"/>
      <x:c r="G6" s="289" t="str"/>
    </x:row>
    <x:row r="7">
      <x:c r="A7" s="289" t="str">
        <x:v>بدل النقل / Transportation Allowance</x:v>
      </x:c>
      <x:c r="B7" s="295" t="n">
        <x:v>500</x:v>
      </x:c>
      <x:c r="C7" s="289" t="str">
        <x:v>ريال</x:v>
      </x:c>
      <x:c r="D7" s="289" t="str"/>
      <x:c r="E7" s="289" t="str"/>
      <x:c r="F7" s="289" t="str"/>
      <x:c r="G7" s="289" t="str"/>
    </x:row>
    <x:row r="8">
      <x:c r="A8" s="289" t="str">
        <x:v>الأجر المعتمد لحساب نهاية الخدمة / Wage for EOS</x:v>
      </x:c>
      <x:c r="B8" s="295" t="n">
        <x:v>6750</x:v>
      </x:c>
      <x:c r="C8" s="289" t="str">
        <x:v>ريال</x:v>
      </x:c>
      <x:c r="D8" s="289" t="n">
        <x:f>B5+B6+B7</x:f>
        <x:v>6750</x:v>
      </x:c>
      <x:c r="E8" s="289" t="str"/>
      <x:c r="F8" s="289" t="str"/>
      <x:c r="G8" s="289"/>
    </x:row>
    <x:row r="9">
      <x:c r="A9" s="289" t="str"/>
      <x:c r="B9" s="289" t="str"/>
      <x:c r="C9" s="289" t="str"/>
      <x:c r="D9" s="289" t="str"/>
      <x:c r="E9" s="289" t="str"/>
      <x:c r="F9" s="289" t="str"/>
      <x:c r="G9" s="289" t="str"/>
    </x:row>
    <x:row r="10">
      <x:c r="A10" s="290" t="str">
        <x:v>قاعدة الاستقالة المستخدمة / Resignation EOS Rule</x:v>
      </x:c>
      <x:c r="B10" s="290" t="str"/>
      <x:c r="C10" s="290" t="str"/>
      <x:c r="D10" s="290" t="str"/>
      <x:c r="E10" s="290" t="str"/>
      <x:c r="F10" s="290" t="str"/>
      <x:c r="G10" s="290" t="str"/>
    </x:row>
    <x:row r="11">
      <x:c r="A11" s="289" t="str">
        <x:v>أقل من سنتين</x:v>
      </x:c>
      <x:c r="B11" s="289" t="str">
        <x:v>لا يستحق مكافأة نهاية خدمة عند الاستقالة</x:v>
      </x:c>
      <x:c r="C11" s="289" t="str"/>
      <x:c r="D11" s="289" t="str"/>
      <x:c r="E11" s="289" t="str"/>
      <x:c r="F11" s="289" t="str"/>
      <x:c r="G11" s="289" t="str"/>
    </x:row>
    <x:row r="12">
      <x:c r="A12" s="289" t="str">
        <x:v>من سنتين إلى أقل من 5 سنوات</x:v>
      </x:c>
      <x:c r="B12" s="289" t="str">
        <x:v>ثلث المكافأة</x:v>
      </x:c>
      <x:c r="C12" s="289" t="str">
        <x:v>المعادلة: سنوات الخدمة × الأجر ÷ 6</x:v>
      </x:c>
      <x:c r="D12" s="289" t="str"/>
      <x:c r="E12" s="289" t="str"/>
      <x:c r="F12" s="289" t="str"/>
      <x:c r="G12" s="289" t="str"/>
    </x:row>
    <x:row r="13">
      <x:c r="A13" s="289" t="str">
        <x:v>من 5 سنوات إلى أقل من 10 سنوات</x:v>
      </x:c>
      <x:c r="B13" s="289" t="str">
        <x:v>ثلثا المكافأة</x:v>
      </x:c>
      <x:c r="C13" s="289" t="str">
        <x:v>المعادلة: (سنوات الخدمة - 2.5) × الأجر × 2 ÷ 3</x:v>
      </x:c>
      <x:c r="D13" s="289" t="str"/>
      <x:c r="E13" s="289" t="str"/>
      <x:c r="F13" s="289" t="str"/>
      <x:c r="G13" s="289" t="str"/>
    </x:row>
    <x:row r="14">
      <x:c r="A14" s="289" t="str">
        <x:v>10 سنوات فأكثر</x:v>
      </x:c>
      <x:c r="B14" s="289" t="str">
        <x:v>كامل المكافأة</x:v>
      </x:c>
      <x:c r="C14" s="289" t="str">
        <x:v>المعادلة: (سنوات الخدمة - 2.5) × الأجر</x:v>
      </x:c>
      <x:c r="D14" s="289" t="str"/>
      <x:c r="E14" s="289" t="str"/>
      <x:c r="F14" s="289" t="str"/>
      <x:c r="G14" s="289" t="str"/>
    </x:row>
    <x:row r="15">
      <x:c r="A15" s="289" t="str"/>
      <x:c r="B15" s="289" t="str"/>
      <x:c r="C15" s="289" t="str"/>
      <x:c r="D15" s="289" t="str"/>
      <x:c r="E15" s="289" t="str"/>
      <x:c r="F15" s="289" t="str"/>
      <x:c r="G15" s="289" t="str"/>
    </x:row>
    <x:row r="16">
      <x:c r="A16" s="290" t="str">
        <x:v>الشريحة</x:v>
      </x:c>
      <x:c r="B16" s="290" t="str">
        <x:v>مبلغ بدل السكن المطلوب تغطيته</x:v>
      </x:c>
      <x:c r="C16" s="290" t="str">
        <x:v>أقل مدة خدمة تغطي المبلغ عند الاستقالة</x:v>
      </x:c>
      <x:c r="D16" s="290" t="str">
        <x:v>بالسنوات</x:v>
      </x:c>
      <x:c r="E16" s="290" t="str">
        <x:v>ملاحظة</x:v>
      </x:c>
      <x:c r="F16" s="290" t="str"/>
      <x:c r="G16" s="290" t="str"/>
    </x:row>
    <x:row r="17">
      <x:c r="A17" s="289" t="str">
        <x:v>3 أشهر بدل سكن</x:v>
      </x:c>
      <x:c r="B17" s="295" t="n">
        <x:f>3*$B$6</x:f>
        <x:v>3750</x:v>
      </x:c>
      <x:c r="C17" s="289" t="str">
        <x:v>3 سنوات و4 أشهر</x:v>
      </x:c>
      <x:c r="D17" s="297" t="n">
        <x:v>3.3333333333333335</x:v>
      </x:c>
      <x:c r="E17" s="289" t="str">
        <x:v>3,750 ريال ÷ الأجر يعطي حدًا أدنى داخل شريحة 2-5 سنوات</x:v>
      </x:c>
      <x:c r="F17" s="289" t="str"/>
      <x:c r="G17" s="289" t="str"/>
    </x:row>
    <x:row r="18">
      <x:c r="A18" s="289" t="str">
        <x:v>6 أشهر بدل سكن</x:v>
      </x:c>
      <x:c r="B18" s="295" t="n">
        <x:f>6*$B$6</x:f>
        <x:v>7500</x:v>
      </x:c>
      <x:c r="C18" s="289" t="str">
        <x:v>5 سنوات</x:v>
      </x:c>
      <x:c r="D18" s="297" t="n">
        <x:v>5</x:v>
      </x:c>
      <x:c r="E18" s="289" t="str">
        <x:v>قبل 5 سنوات لا تكفي المكافأة؛ عند 5 سنوات ينتقل الاستحقاق إلى ثلثي المكافأة</x:v>
      </x:c>
      <x:c r="F18" s="289" t="str"/>
      <x:c r="G18" s="289" t="str"/>
    </x:row>
    <x:row r="19">
      <x:c r="A19" s="289" t="str">
        <x:v>9 أشهر بدل سكن</x:v>
      </x:c>
      <x:c r="B19" s="295" t="n">
        <x:f>9*$B$6</x:f>
        <x:v>11250</x:v>
      </x:c>
      <x:c r="C19" s="289" t="str">
        <x:v>5 سنوات</x:v>
      </x:c>
      <x:c r="D19" s="297" t="n">
        <x:v>5</x:v>
      </x:c>
      <x:c r="E19" s="289" t="str">
        <x:v>عند 5 سنوات مكافأة الاستقالة = 11,250 ريال وتغطي 9 أشهر بدل سكن</x:v>
      </x:c>
      <x:c r="F19" s="289" t="str"/>
      <x:c r="G19" s="289" t="str"/>
    </x:row>
    <x:row r="20">
      <x:c r="A20" s="289" t="str">
        <x:v>12 شهر بدل سكن</x:v>
      </x:c>
      <x:c r="B20" s="295" t="n">
        <x:f>12*$B$6</x:f>
        <x:v>15000</x:v>
      </x:c>
      <x:c r="C20" s="289" t="str">
        <x:v>6 سنوات و10 أشهر</x:v>
      </x:c>
      <x:c r="D20" s="297" t="n">
        <x:v>6.833333333333333</x:v>
      </x:c>
      <x:c r="E20" s="289" t="str">
        <x:v>الحد الأدنى التقريبي لتغطية 15,000 ريال من مكافأة الاستقالة</x:v>
      </x:c>
      <x:c r="F20" s="289" t="str"/>
      <x:c r="G20" s="289" t="str"/>
    </x:row>
    <x:row r="21">
      <x:c r="A21" s="289" t="str"/>
      <x:c r="B21" s="289" t="str"/>
      <x:c r="C21" s="289" t="str"/>
      <x:c r="D21" s="289" t="str"/>
      <x:c r="E21" s="289" t="str"/>
      <x:c r="F21" s="289" t="str"/>
      <x:c r="G21" s="289" t="str"/>
    </x:row>
    <x:row r="22">
      <x:c r="A22" s="290" t="str">
        <x:v>الشرائح المطبقة في نموذج الطلب / Applied Options</x:v>
      </x:c>
      <x:c r="B22" s="290" t="str"/>
      <x:c r="C22" s="290" t="str"/>
      <x:c r="D22" s="290" t="str"/>
      <x:c r="E22" s="290" t="str"/>
      <x:c r="F22" s="290" t="str"/>
      <x:c r="G22" s="290" t="str"/>
    </x:row>
    <x:row r="23">
      <x:c r="A23" s="289" t="str">
        <x:v>من 3 سنوات و4 أشهر فأكثر</x:v>
      </x:c>
      <x:c r="B23" s="289" t="str">
        <x:v>3 أشهر مقدماً</x:v>
      </x:c>
      <x:c r="C23" s="289" t="str"/>
      <x:c r="D23" s="289" t="str"/>
      <x:c r="E23" s="289" t="str"/>
      <x:c r="F23" s="289" t="str"/>
      <x:c r="G23" s="289" t="str"/>
    </x:row>
    <x:row r="24">
      <x:c r="A24" s="289" t="str">
        <x:v>من 5 سنوات فأكثر</x:v>
      </x:c>
      <x:c r="B24" s="289" t="str">
        <x:v>6 أشهر مقدماً</x:v>
      </x:c>
      <x:c r="C24" s="289" t="str"/>
      <x:c r="D24" s="289" t="str"/>
      <x:c r="E24" s="289" t="str">
        <x:v>مغطاة عند الاستقالة</x:v>
      </x:c>
      <x:c r="F24" s="289" t="str"/>
      <x:c r="G24" s="289" t="str"/>
    </x:row>
    <x:row r="25">
      <x:c r="A25" s="289" t="str">
        <x:v>من 5 سنوات فأكثر</x:v>
      </x:c>
      <x:c r="B25" s="289" t="str">
        <x:v>9 أشهر مقدماً</x:v>
      </x:c>
      <x:c r="C25" s="289" t="str"/>
      <x:c r="D25" s="289" t="str"/>
      <x:c r="E25" s="289" t="str">
        <x:v>مغطاة عند الاستقالة؛ الفصل بينها وبين 6 أشهر قرار إداري</x:v>
      </x:c>
      <x:c r="F25" s="289" t="str"/>
      <x:c r="G25" s="289" t="str"/>
    </x:row>
    <x:row r="26">
      <x:c r="A26" s="289" t="str">
        <x:v>من 6 سنوات و10 أشهر فأكثر</x:v>
      </x:c>
      <x:c r="B26" s="289" t="str">
        <x:v>12 شهراً مقدماً</x:v>
      </x:c>
      <x:c r="C26" s="289" t="str"/>
      <x:c r="D26" s="289" t="str"/>
      <x:c r="E26" s="289" t="str"/>
      <x:c r="F26" s="289" t="str"/>
      <x:c r="G26" s="289" t="str"/>
    </x:row>
    <x:row r="27">
      <x:c r="A27" s="289" t="str"/>
      <x:c r="B27" s="289" t="str"/>
      <x:c r="C27" s="289" t="str"/>
      <x:c r="D27" s="289" t="str"/>
      <x:c r="E27" s="289" t="str"/>
      <x:c r="F27" s="289" t="str"/>
      <x:c r="G27" s="289" t="str"/>
    </x:row>
    <x:row r="28">
      <x:c r="A28" s="289" t="str">
        <x:v>ملاحظة مهمة</x:v>
      </x:c>
      <x:c r="B28" s="289" t="str">
        <x:v>ظهور 6 أشهر و9 أشهر بنفس بداية الاستحقاق (5 سنوات) سببه القفزة النظامية في نسبة مكافأة الاستقالة عند إكمال 5 سنوات. لذلك يمكن للإدارة استخدام 6 أشهر كخيار تحفظي و9 أشهر كخيار أعلى عند الاعتماد.</x:v>
      </x:c>
      <x:c r="C28" s="289" t="str"/>
      <x:c r="D28" s="289" t="str"/>
      <x:c r="E28" s="289" t="str"/>
      <x:c r="F28" s="289" t="str"/>
      <x:c r="G28" s="289" t="str"/>
    </x:row>
    <x:row r="29">
      <x:c r="A29" s="289"/>
      <x:c r="B29" s="289"/>
      <x:c r="C29" s="289"/>
      <x:c r="D29" s="289"/>
      <x:c r="E29" s="289"/>
      <x:c r="F29" s="289"/>
      <x:c r="G29" s="289"/>
    </x:row>
    <x:row r="30">
      <x:c r="A30" s="289"/>
      <x:c r="B30" s="289"/>
      <x:c r="C30" s="289"/>
      <x:c r="D30" s="289"/>
      <x:c r="E30" s="289"/>
      <x:c r="F30" s="289"/>
      <x:c r="G30" s="289"/>
    </x:row>
  </x:sheetData>
  <x:pageMargins left="0.7" right="0.7" top="0.75" bottom="0.75" header="0.3" footer="0.3"/>
</x:worksheet>
</file>